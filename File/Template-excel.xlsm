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/>
  <bookViews>
    <workbookView xWindow="0" yWindow="0" windowWidth="19200" windowHeight="11265" activeTab="1"/>
  </bookViews>
  <sheets>
    <sheet name="Liste de metadonnées" sheetId="1" r:id="rId1"/>
    <sheet name="Metadata" sheetId="2" r:id="rId2"/>
  </sheets>
  <definedNames>
    <definedName name="Titres_Imprimer" localSheetId="0">'Liste de metadonnées'!$4:$4</definedName>
  </definedNames>
  <calcPr calcId="162913" concurrentCalc="0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P36" i="1"/>
  <c r="P35" i="1"/>
  <c r="P34" i="1"/>
  <c r="P33" i="1"/>
  <c r="P37" i="1"/>
  <c r="G5" i="1"/>
  <c r="J5" i="1"/>
  <c r="G6" i="1"/>
  <c r="F6" i="1"/>
  <c r="H6" i="1"/>
  <c r="I6" i="1"/>
  <c r="J6" i="1"/>
  <c r="G7" i="1"/>
  <c r="F7" i="1"/>
  <c r="H7" i="1"/>
  <c r="I7" i="1"/>
  <c r="J7" i="1"/>
  <c r="G8" i="1"/>
  <c r="F8" i="1"/>
  <c r="H8" i="1"/>
  <c r="I8" i="1"/>
  <c r="J8" i="1"/>
  <c r="G9" i="1"/>
  <c r="F9" i="1"/>
  <c r="H9" i="1"/>
  <c r="I9" i="1"/>
  <c r="J9" i="1"/>
  <c r="G10" i="1"/>
  <c r="F10" i="1"/>
  <c r="H10" i="1"/>
  <c r="I10" i="1"/>
  <c r="J10" i="1"/>
  <c r="G11" i="1"/>
  <c r="F11" i="1"/>
  <c r="H11" i="1"/>
  <c r="I11" i="1"/>
  <c r="J11" i="1"/>
  <c r="G12" i="1"/>
  <c r="F12" i="1"/>
  <c r="H12" i="1"/>
  <c r="I12" i="1"/>
  <c r="J12" i="1"/>
  <c r="G13" i="1"/>
  <c r="F13" i="1"/>
  <c r="H13" i="1"/>
  <c r="I13" i="1"/>
  <c r="J13" i="1"/>
  <c r="G14" i="1"/>
  <c r="F14" i="1"/>
  <c r="H14" i="1"/>
  <c r="I14" i="1"/>
  <c r="J14" i="1"/>
  <c r="G15" i="1"/>
  <c r="F15" i="1"/>
  <c r="H15" i="1"/>
  <c r="I15" i="1"/>
  <c r="J15" i="1"/>
  <c r="G16" i="1"/>
  <c r="F16" i="1"/>
  <c r="H16" i="1"/>
  <c r="I16" i="1"/>
  <c r="J16" i="1"/>
  <c r="G17" i="1"/>
  <c r="F17" i="1"/>
  <c r="H17" i="1"/>
  <c r="I17" i="1"/>
  <c r="J17" i="1"/>
  <c r="G18" i="1"/>
  <c r="F18" i="1"/>
  <c r="H18" i="1"/>
  <c r="I18" i="1"/>
  <c r="J18" i="1"/>
  <c r="G19" i="1"/>
  <c r="F19" i="1"/>
  <c r="H19" i="1"/>
  <c r="I19" i="1"/>
  <c r="J19" i="1"/>
  <c r="G20" i="1"/>
  <c r="F20" i="1"/>
  <c r="H20" i="1"/>
  <c r="I20" i="1"/>
  <c r="J20" i="1"/>
  <c r="G21" i="1"/>
  <c r="F21" i="1"/>
  <c r="H21" i="1"/>
  <c r="I21" i="1"/>
  <c r="J21" i="1"/>
  <c r="G22" i="1"/>
  <c r="F22" i="1"/>
  <c r="H22" i="1"/>
  <c r="I22" i="1"/>
  <c r="J22" i="1"/>
  <c r="G23" i="1"/>
  <c r="F23" i="1"/>
  <c r="H23" i="1"/>
  <c r="I23" i="1"/>
  <c r="J23" i="1"/>
  <c r="G24" i="1"/>
  <c r="F24" i="1"/>
  <c r="H24" i="1"/>
  <c r="I24" i="1"/>
  <c r="J24" i="1"/>
  <c r="G25" i="1"/>
  <c r="F25" i="1"/>
  <c r="H25" i="1"/>
  <c r="I25" i="1"/>
  <c r="J25" i="1"/>
  <c r="G26" i="1"/>
  <c r="F26" i="1"/>
  <c r="H26" i="1"/>
  <c r="I26" i="1"/>
  <c r="J26" i="1"/>
  <c r="G27" i="1"/>
  <c r="F27" i="1"/>
  <c r="H27" i="1"/>
  <c r="I27" i="1"/>
  <c r="J27" i="1"/>
  <c r="G28" i="1"/>
  <c r="F28" i="1"/>
  <c r="H28" i="1"/>
  <c r="I28" i="1"/>
  <c r="J28" i="1"/>
  <c r="G29" i="1"/>
  <c r="F29" i="1"/>
  <c r="H29" i="1"/>
  <c r="I29" i="1"/>
  <c r="J29" i="1"/>
  <c r="G30" i="1"/>
  <c r="F30" i="1"/>
  <c r="H30" i="1"/>
  <c r="I30" i="1"/>
  <c r="J30" i="1"/>
  <c r="G31" i="1"/>
  <c r="F31" i="1"/>
  <c r="H31" i="1"/>
  <c r="I31" i="1"/>
  <c r="J31" i="1"/>
  <c r="G32" i="1"/>
  <c r="F32" i="1"/>
  <c r="H32" i="1"/>
  <c r="I32" i="1"/>
  <c r="J32" i="1"/>
  <c r="G33" i="1"/>
  <c r="F33" i="1"/>
  <c r="H33" i="1"/>
  <c r="I33" i="1"/>
  <c r="J33" i="1"/>
  <c r="G34" i="1"/>
  <c r="F34" i="1"/>
  <c r="H34" i="1"/>
  <c r="I34" i="1"/>
  <c r="J34" i="1"/>
  <c r="G35" i="1"/>
  <c r="F35" i="1"/>
  <c r="H35" i="1"/>
  <c r="I35" i="1"/>
  <c r="J35" i="1"/>
  <c r="G36" i="1"/>
  <c r="F36" i="1"/>
  <c r="H36" i="1"/>
  <c r="I36" i="1"/>
  <c r="J36" i="1"/>
  <c r="G37" i="1"/>
  <c r="F37" i="1"/>
  <c r="H37" i="1"/>
  <c r="I37" i="1"/>
  <c r="J37" i="1"/>
  <c r="G38" i="1"/>
  <c r="F38" i="1"/>
  <c r="H38" i="1"/>
  <c r="I38" i="1"/>
  <c r="J38" i="1"/>
  <c r="G39" i="1"/>
  <c r="F39" i="1"/>
  <c r="H39" i="1"/>
  <c r="I39" i="1"/>
  <c r="J39" i="1"/>
  <c r="G40" i="1"/>
  <c r="F40" i="1"/>
  <c r="H40" i="1"/>
  <c r="I40" i="1"/>
  <c r="J40" i="1"/>
  <c r="G41" i="1"/>
  <c r="F41" i="1"/>
  <c r="H41" i="1"/>
  <c r="I41" i="1"/>
  <c r="J41" i="1"/>
  <c r="G42" i="1"/>
  <c r="F42" i="1"/>
  <c r="H42" i="1"/>
  <c r="I42" i="1"/>
  <c r="J42" i="1"/>
  <c r="G43" i="1"/>
  <c r="F43" i="1"/>
  <c r="H43" i="1"/>
  <c r="I43" i="1"/>
  <c r="J43" i="1"/>
  <c r="G44" i="1"/>
  <c r="F44" i="1"/>
  <c r="H44" i="1"/>
  <c r="I44" i="1"/>
  <c r="J44" i="1"/>
  <c r="G45" i="1"/>
  <c r="F45" i="1"/>
  <c r="H45" i="1"/>
  <c r="I45" i="1"/>
  <c r="J45" i="1"/>
  <c r="G46" i="1"/>
  <c r="F46" i="1"/>
  <c r="H46" i="1"/>
  <c r="I46" i="1"/>
  <c r="J46" i="1"/>
  <c r="G47" i="1"/>
  <c r="F47" i="1"/>
  <c r="H47" i="1"/>
  <c r="I47" i="1"/>
  <c r="J47" i="1"/>
  <c r="G48" i="1"/>
  <c r="F48" i="1"/>
  <c r="H48" i="1"/>
  <c r="I48" i="1"/>
  <c r="J48" i="1"/>
  <c r="G49" i="1"/>
  <c r="F49" i="1"/>
  <c r="H49" i="1"/>
  <c r="I49" i="1"/>
  <c r="J49" i="1"/>
  <c r="G50" i="1"/>
  <c r="F50" i="1"/>
  <c r="H50" i="1"/>
  <c r="I50" i="1"/>
  <c r="J50" i="1"/>
  <c r="G51" i="1"/>
  <c r="F51" i="1"/>
  <c r="H51" i="1"/>
  <c r="I51" i="1"/>
  <c r="J51" i="1"/>
  <c r="G52" i="1"/>
  <c r="F52" i="1"/>
  <c r="H52" i="1"/>
  <c r="I52" i="1"/>
  <c r="J52" i="1"/>
  <c r="G53" i="1"/>
  <c r="F53" i="1"/>
  <c r="H53" i="1"/>
  <c r="I53" i="1"/>
  <c r="J53" i="1"/>
  <c r="G54" i="1"/>
  <c r="F54" i="1"/>
  <c r="H54" i="1"/>
  <c r="I54" i="1"/>
  <c r="J54" i="1"/>
  <c r="G55" i="1"/>
  <c r="F55" i="1"/>
  <c r="H55" i="1"/>
  <c r="I55" i="1"/>
  <c r="J55" i="1"/>
  <c r="G56" i="1"/>
  <c r="F56" i="1"/>
  <c r="H56" i="1"/>
  <c r="I56" i="1"/>
  <c r="J56" i="1"/>
  <c r="G57" i="1"/>
  <c r="F57" i="1"/>
  <c r="H57" i="1"/>
  <c r="I57" i="1"/>
  <c r="J57" i="1"/>
  <c r="G58" i="1"/>
  <c r="F58" i="1"/>
  <c r="H58" i="1"/>
  <c r="I58" i="1"/>
  <c r="J58" i="1"/>
  <c r="G59" i="1"/>
  <c r="F59" i="1"/>
  <c r="H59" i="1"/>
  <c r="I59" i="1"/>
  <c r="J59" i="1"/>
  <c r="G60" i="1"/>
  <c r="F60" i="1"/>
  <c r="H60" i="1"/>
  <c r="I60" i="1"/>
  <c r="J60" i="1"/>
  <c r="G61" i="1"/>
  <c r="F61" i="1"/>
  <c r="H61" i="1"/>
  <c r="I61" i="1"/>
  <c r="J61" i="1"/>
  <c r="G62" i="1"/>
  <c r="F62" i="1"/>
  <c r="H62" i="1"/>
  <c r="I62" i="1"/>
  <c r="J62" i="1"/>
  <c r="G63" i="1"/>
  <c r="F63" i="1"/>
  <c r="H63" i="1"/>
  <c r="I63" i="1"/>
  <c r="J63" i="1"/>
  <c r="G64" i="1"/>
  <c r="F64" i="1"/>
  <c r="H64" i="1"/>
  <c r="I64" i="1"/>
  <c r="J64" i="1"/>
  <c r="G65" i="1"/>
  <c r="F65" i="1"/>
  <c r="H65" i="1"/>
  <c r="I65" i="1"/>
  <c r="J65" i="1"/>
  <c r="G66" i="1"/>
  <c r="F66" i="1"/>
  <c r="H66" i="1"/>
  <c r="I66" i="1"/>
  <c r="J66" i="1"/>
  <c r="G67" i="1"/>
  <c r="F67" i="1"/>
  <c r="H67" i="1"/>
  <c r="I67" i="1"/>
  <c r="J67" i="1"/>
  <c r="G68" i="1"/>
  <c r="F68" i="1"/>
  <c r="H68" i="1"/>
  <c r="I68" i="1"/>
  <c r="J68" i="1"/>
  <c r="G69" i="1"/>
  <c r="F69" i="1"/>
  <c r="H69" i="1"/>
  <c r="I69" i="1"/>
  <c r="J69" i="1"/>
  <c r="G70" i="1"/>
  <c r="F70" i="1"/>
  <c r="H70" i="1"/>
  <c r="I70" i="1"/>
  <c r="J70" i="1"/>
  <c r="G71" i="1"/>
  <c r="F71" i="1"/>
  <c r="H71" i="1"/>
  <c r="I71" i="1"/>
  <c r="J71" i="1"/>
  <c r="G72" i="1"/>
  <c r="F72" i="1"/>
  <c r="H72" i="1"/>
  <c r="I72" i="1"/>
  <c r="J72" i="1"/>
  <c r="G73" i="1"/>
  <c r="F73" i="1"/>
  <c r="H73" i="1"/>
  <c r="I73" i="1"/>
  <c r="J73" i="1"/>
  <c r="G74" i="1"/>
  <c r="F74" i="1"/>
  <c r="H74" i="1"/>
  <c r="I74" i="1"/>
  <c r="J74" i="1"/>
  <c r="G75" i="1"/>
  <c r="F75" i="1"/>
  <c r="H75" i="1"/>
  <c r="I75" i="1"/>
  <c r="J75" i="1"/>
  <c r="G76" i="1"/>
  <c r="F76" i="1"/>
  <c r="H76" i="1"/>
  <c r="I76" i="1"/>
  <c r="J76" i="1"/>
  <c r="G77" i="1"/>
  <c r="F77" i="1"/>
  <c r="H77" i="1"/>
  <c r="I77" i="1"/>
  <c r="J77" i="1"/>
  <c r="G78" i="1"/>
  <c r="F78" i="1"/>
  <c r="H78" i="1"/>
  <c r="I78" i="1"/>
  <c r="J78" i="1"/>
  <c r="G79" i="1"/>
  <c r="F79" i="1"/>
  <c r="H79" i="1"/>
  <c r="I79" i="1"/>
  <c r="J79" i="1"/>
  <c r="G80" i="1"/>
  <c r="F80" i="1"/>
  <c r="H80" i="1"/>
  <c r="I80" i="1"/>
  <c r="J80" i="1"/>
  <c r="G81" i="1"/>
  <c r="F81" i="1"/>
  <c r="H81" i="1"/>
  <c r="I81" i="1"/>
  <c r="J81" i="1"/>
  <c r="G82" i="1"/>
  <c r="F82" i="1"/>
  <c r="H82" i="1"/>
  <c r="I82" i="1"/>
  <c r="J82" i="1"/>
  <c r="G83" i="1"/>
  <c r="F83" i="1"/>
  <c r="H83" i="1"/>
  <c r="I83" i="1"/>
  <c r="J83" i="1"/>
  <c r="G84" i="1"/>
  <c r="F84" i="1"/>
  <c r="H84" i="1"/>
  <c r="I84" i="1"/>
  <c r="J84" i="1"/>
  <c r="G85" i="1"/>
  <c r="F85" i="1"/>
  <c r="H85" i="1"/>
  <c r="I85" i="1"/>
  <c r="J85" i="1"/>
  <c r="G86" i="1"/>
  <c r="F86" i="1"/>
  <c r="H86" i="1"/>
  <c r="I86" i="1"/>
  <c r="J86" i="1"/>
  <c r="G87" i="1"/>
  <c r="F87" i="1"/>
  <c r="H87" i="1"/>
  <c r="I87" i="1"/>
  <c r="J87" i="1"/>
  <c r="G88" i="1"/>
  <c r="F88" i="1"/>
  <c r="H88" i="1"/>
  <c r="I88" i="1"/>
  <c r="J88" i="1"/>
  <c r="G89" i="1"/>
  <c r="F89" i="1"/>
  <c r="H89" i="1"/>
  <c r="I89" i="1"/>
  <c r="J89" i="1"/>
  <c r="G90" i="1"/>
  <c r="F90" i="1"/>
  <c r="H90" i="1"/>
  <c r="I90" i="1"/>
  <c r="J90" i="1"/>
  <c r="G91" i="1"/>
  <c r="F91" i="1"/>
  <c r="H91" i="1"/>
  <c r="I91" i="1"/>
  <c r="J91" i="1"/>
  <c r="G92" i="1"/>
  <c r="F92" i="1"/>
  <c r="H92" i="1"/>
  <c r="I92" i="1"/>
  <c r="J92" i="1"/>
  <c r="P39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P46" i="1"/>
  <c r="P45" i="1"/>
  <c r="P44" i="1"/>
  <c r="P42" i="1"/>
  <c r="P43" i="1"/>
  <c r="C6" i="1"/>
  <c r="C7" i="1"/>
  <c r="C8" i="1"/>
  <c r="O4" i="2"/>
  <c r="P40" i="1"/>
  <c r="AK4" i="2"/>
  <c r="AL4" i="2"/>
  <c r="B91" i="1"/>
  <c r="C91" i="1"/>
  <c r="K91" i="1"/>
  <c r="B92" i="1"/>
  <c r="C92" i="1"/>
  <c r="K92" i="1"/>
  <c r="B84" i="1"/>
  <c r="C84" i="1"/>
  <c r="K84" i="1"/>
  <c r="B85" i="1"/>
  <c r="C85" i="1"/>
  <c r="K85" i="1"/>
  <c r="B86" i="1"/>
  <c r="C86" i="1"/>
  <c r="K86" i="1"/>
  <c r="B87" i="1"/>
  <c r="C87" i="1"/>
  <c r="K87" i="1"/>
  <c r="B88" i="1"/>
  <c r="C88" i="1"/>
  <c r="K88" i="1"/>
  <c r="B89" i="1"/>
  <c r="C89" i="1"/>
  <c r="K89" i="1"/>
  <c r="B90" i="1"/>
  <c r="C90" i="1"/>
  <c r="K90" i="1"/>
  <c r="B28" i="1"/>
  <c r="F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I5" i="1"/>
  <c r="H5" i="1"/>
  <c r="C5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B5" i="1"/>
</calcChain>
</file>

<file path=xl/sharedStrings.xml><?xml version="1.0" encoding="utf-8"?>
<sst xmlns="http://schemas.openxmlformats.org/spreadsheetml/2006/main" count="84" uniqueCount="69">
  <si>
    <r>
      <rPr>
        <sz val="10"/>
        <color theme="1" tint="4.9989318521683403E-2"/>
        <rFont val="Century Gothic"/>
        <family val="1"/>
      </rPr>
      <t>% achevé</t>
    </r>
  </si>
  <si>
    <r>
      <rPr>
        <sz val="10"/>
        <color theme="1" tint="4.9989318521683403E-2"/>
        <rFont val="Century Gothic"/>
        <family val="1"/>
      </rPr>
      <t>Notes</t>
    </r>
  </si>
  <si>
    <t>Date</t>
  </si>
  <si>
    <t>Puits/Localisation</t>
  </si>
  <si>
    <t>Donnée existante</t>
  </si>
  <si>
    <t>Métadonnée XML</t>
  </si>
  <si>
    <t>Metadonnée validée</t>
  </si>
  <si>
    <t>Titre Métadonnée</t>
  </si>
  <si>
    <t>GPK1</t>
  </si>
  <si>
    <t>GPK2</t>
  </si>
  <si>
    <t>Non</t>
  </si>
  <si>
    <t>GPK3</t>
  </si>
  <si>
    <t>GPK4</t>
  </si>
  <si>
    <t>Type de métadonnée</t>
  </si>
  <si>
    <t>Métadonnée complète</t>
  </si>
  <si>
    <t>Title</t>
  </si>
  <si>
    <t>Abstract</t>
  </si>
  <si>
    <t>Data Type</t>
  </si>
  <si>
    <t>Geographic coordinate system</t>
  </si>
  <si>
    <t>Puits</t>
  </si>
  <si>
    <t>Depth1</t>
  </si>
  <si>
    <t>Depth2</t>
  </si>
  <si>
    <t>startdate</t>
  </si>
  <si>
    <t>end date</t>
  </si>
  <si>
    <t>Creation date</t>
  </si>
  <si>
    <t>Format</t>
  </si>
  <si>
    <t>Quality</t>
  </si>
  <si>
    <t>Processing step</t>
  </si>
  <si>
    <t>subject study</t>
  </si>
  <si>
    <t>project phase</t>
  </si>
  <si>
    <t>Location</t>
  </si>
  <si>
    <t>Variables</t>
  </si>
  <si>
    <t>Access constraint</t>
  </si>
  <si>
    <t>Use limitation</t>
  </si>
  <si>
    <t xml:space="preserve">citation </t>
  </si>
  <si>
    <t>Contractor</t>
  </si>
  <si>
    <t>Sources</t>
  </si>
  <si>
    <t>Localisation donnée</t>
  </si>
  <si>
    <t>WGS84</t>
  </si>
  <si>
    <t>Geological log</t>
  </si>
  <si>
    <t>EPS1</t>
  </si>
  <si>
    <t>excel</t>
  </si>
  <si>
    <t>test</t>
  </si>
  <si>
    <t>% achevé</t>
  </si>
  <si>
    <t>Nom du fichier</t>
  </si>
  <si>
    <t>Exploration</t>
  </si>
  <si>
    <t>Terminé?</t>
  </si>
  <si>
    <t>Groupe</t>
  </si>
  <si>
    <t>Log</t>
  </si>
  <si>
    <t>%Log</t>
  </si>
  <si>
    <t>%Well trajectory</t>
  </si>
  <si>
    <t>%test</t>
  </si>
  <si>
    <t>Donnée par puits</t>
  </si>
  <si>
    <t>Achevé</t>
  </si>
  <si>
    <t>En cours de traitement</t>
  </si>
  <si>
    <t>%stimulation 1993</t>
  </si>
  <si>
    <t>%stimulation 1995</t>
  </si>
  <si>
    <t>Saving_name</t>
  </si>
  <si>
    <t>Owner1</t>
  </si>
  <si>
    <t>Owner2</t>
  </si>
  <si>
    <t>Resource contact</t>
  </si>
  <si>
    <t>Distributor</t>
  </si>
  <si>
    <t>EOST/ IPGS</t>
  </si>
  <si>
    <t>GPK1; Soultz-sous-Forêts</t>
  </si>
  <si>
    <t>Logging; Geodesy</t>
  </si>
  <si>
    <t>Test</t>
  </si>
  <si>
    <t>This is a test!</t>
  </si>
  <si>
    <t>no sources</t>
  </si>
  <si>
    <t>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</si>
</sst>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 tint="4.9989318521683403E-2"/>
      <name val="Century Gothic"/>
      <family val="1"/>
      <scheme val="minor"/>
    </font>
    <font>
      <sz val="11"/>
      <color theme="1"/>
      <name val="Century Gothic"/>
      <family val="2"/>
      <scheme val="minor"/>
    </font>
    <font>
      <sz val="8"/>
      <name val="Century Gothic"/>
      <family val="2"/>
      <scheme val="minor"/>
    </font>
    <font>
      <b/>
      <sz val="11"/>
      <color theme="0"/>
      <name val="Century Gothic"/>
      <family val="1"/>
      <scheme val="major"/>
    </font>
    <font>
      <b/>
      <sz val="10"/>
      <color theme="0"/>
      <name val="Century Gothic"/>
      <family val="1"/>
      <scheme val="major"/>
    </font>
    <font>
      <sz val="36"/>
      <color theme="0"/>
      <name val="Century Gothic"/>
      <family val="1"/>
      <scheme val="major"/>
    </font>
    <font>
      <sz val="10"/>
      <color theme="1" tint="4.9989318521683403E-2"/>
      <name val="Century Gothic"/>
      <family val="1"/>
      <scheme val="major"/>
    </font>
    <font>
      <sz val="10"/>
      <color theme="1" tint="4.9989318521683403E-2"/>
      <name val="Century Gothic"/>
      <family val="1"/>
    </font>
    <font>
      <b/>
      <sz val="10"/>
      <color theme="0"/>
      <name val="Century Gothic"/>
      <family val="1"/>
    </font>
    <font>
      <sz val="10"/>
      <color theme="1" tint="4.9989318521683403E-2"/>
      <name val="Century Gothic"/>
      <family val="2"/>
      <scheme val="minor"/>
    </font>
    <font>
      <u/>
      <sz val="10"/>
      <color theme="10"/>
      <name val="Century Gothic"/>
      <family val="1"/>
      <scheme val="minor"/>
    </font>
    <font>
      <sz val="10"/>
      <name val="Century Gothic"/>
      <family val="2"/>
      <scheme val="minor"/>
    </font>
    <font>
      <sz val="10"/>
      <color theme="1" tint="4.9989318521683403E-2"/>
      <name val="Century Gothic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3" tint="-0.2499465926084170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450666829432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9" fontId="1" fillId="0" borderId="0" applyFont="0" applyFill="0" applyBorder="0" applyAlignment="0" applyProtection="0"/>
    <xf numFmtId="0" fontId="5" fillId="5" borderId="0" applyNumberFormat="0" applyBorder="0" applyAlignment="0" applyProtection="0"/>
    <xf numFmtId="0" fontId="3" fillId="2" borderId="0" applyNumberFormat="0" applyBorder="0" applyProtection="0">
      <alignment horizontal="center" vertical="center"/>
    </xf>
    <xf numFmtId="0" fontId="3" fillId="3" borderId="0" applyNumberFormat="0" applyBorder="0" applyProtection="0">
      <alignment horizontal="center" vertical="center"/>
    </xf>
    <xf numFmtId="0" fontId="4" fillId="4" borderId="0" applyNumberFormat="0" applyBorder="0" applyAlignment="0" applyProtection="0"/>
    <xf numFmtId="0" fontId="10" fillId="0" borderId="0" applyNumberForma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 indent="1"/>
    </xf>
    <xf numFmtId="9" fontId="0" fillId="0" borderId="0" xfId="1" applyFont="1" applyFill="1" applyBorder="1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0" borderId="0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vertical="center" indent="1"/>
    </xf>
    <xf numFmtId="0" fontId="8" fillId="6" borderId="1" xfId="0" applyFont="1" applyFill="1" applyBorder="1" applyAlignment="1">
      <alignment horizontal="left" vertical="center" indent="1"/>
    </xf>
    <xf numFmtId="11" fontId="0" fillId="0" borderId="0" xfId="0" applyNumberFormat="1" applyFont="1" applyFill="1" applyBorder="1" applyAlignment="1">
      <alignment horizontal="left" vertical="center" indent="1"/>
    </xf>
    <xf numFmtId="0" fontId="6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Alignment="1" applyProtection="1">
      <alignment horizontal="left" vertical="center" indent="1"/>
      <protection locked="0"/>
    </xf>
    <xf numFmtId="14" fontId="0" fillId="0" borderId="0" xfId="0" applyNumberFormat="1" applyFont="1" applyFill="1" applyBorder="1" applyAlignment="1" applyProtection="1">
      <alignment horizontal="left" vertical="center" indent="1"/>
      <protection locked="0"/>
    </xf>
    <xf numFmtId="0" fontId="10" fillId="0" borderId="0" xfId="6" applyFill="1" applyBorder="1" applyAlignment="1">
      <alignment horizontal="left" vertical="center" indent="1"/>
    </xf>
    <xf numFmtId="0" fontId="10" fillId="0" borderId="0" xfId="6" applyAlignment="1">
      <alignment horizontal="left" vertical="center" indent="1"/>
    </xf>
    <xf numFmtId="0" fontId="10" fillId="0" borderId="0" xfId="6" applyNumberFormat="1" applyFill="1" applyBorder="1" applyAlignment="1">
      <alignment horizontal="left" vertical="center" indent="1"/>
    </xf>
    <xf numFmtId="0" fontId="7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NumberFormat="1">
      <alignment vertical="center"/>
    </xf>
    <xf numFmtId="0" fontId="0" fillId="0" borderId="0" xfId="0" applyNumberFormat="1" applyFont="1" applyFill="1" applyBorder="1" applyAlignment="1">
      <alignment horizontal="left" vertical="center" indent="1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11" fontId="0" fillId="0" borderId="12" xfId="0" applyNumberFormat="1" applyBorder="1" applyAlignment="1">
      <alignment vertical="center" wrapText="1"/>
    </xf>
    <xf numFmtId="9" fontId="0" fillId="0" borderId="7" xfId="0" applyNumberFormat="1" applyBorder="1" applyAlignment="1">
      <alignment vertical="center"/>
    </xf>
    <xf numFmtId="9" fontId="0" fillId="0" borderId="12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7" fillId="0" borderId="0" xfId="0" applyNumberFormat="1" applyFont="1" applyFill="1" applyBorder="1" applyAlignment="1">
      <alignment horizontal="left" vertical="center" wrapText="1"/>
    </xf>
    <xf numFmtId="0" fontId="11" fillId="0" borderId="2" xfId="0" applyFont="1" applyFill="1" applyBorder="1" applyAlignment="1"/>
    <xf numFmtId="11" fontId="11" fillId="0" borderId="2" xfId="0" applyNumberFormat="1" applyFont="1" applyFill="1" applyBorder="1" applyAlignment="1"/>
    <xf numFmtId="14" fontId="11" fillId="0" borderId="2" xfId="0" applyNumberFormat="1" applyFont="1" applyFill="1" applyBorder="1" applyAlignment="1"/>
    <xf numFmtId="9" fontId="9" fillId="0" borderId="2" xfId="1" applyFont="1" applyFill="1" applyBorder="1" applyAlignment="1">
      <alignment horizontal="right" vertical="center" indent="1"/>
    </xf>
    <xf numFmtId="0" fontId="12" fillId="0" borderId="2" xfId="0" applyNumberFormat="1" applyFont="1" applyFill="1" applyBorder="1" applyAlignment="1">
      <alignment horizontal="center" vertical="center"/>
    </xf>
    <xf numFmtId="14" fontId="11" fillId="0" borderId="2" xfId="0" applyNumberFormat="1" applyFont="1" applyFill="1" applyBorder="1" applyAlignment="1">
      <alignment vertical="center"/>
    </xf>
    <xf numFmtId="14" fontId="11" fillId="0" borderId="2" xfId="0" applyNumberFormat="1" applyFont="1" applyFill="1" applyBorder="1" applyAlignment="1">
      <alignment horizontal="center" vertical="center"/>
    </xf>
    <xf numFmtId="0" fontId="11" fillId="0" borderId="2" xfId="0" applyFont="1" applyFill="1" applyBorder="1">
      <alignment vertical="center"/>
    </xf>
    <xf numFmtId="0" fontId="11" fillId="0" borderId="2" xfId="0" applyNumberFormat="1" applyFont="1" applyFill="1" applyBorder="1">
      <alignment vertical="center"/>
    </xf>
    <xf numFmtId="14" fontId="11" fillId="0" borderId="2" xfId="0" applyNumberFormat="1" applyFont="1" applyFill="1" applyBorder="1">
      <alignment vertical="center"/>
    </xf>
    <xf numFmtId="0" fontId="0" fillId="0" borderId="13" xfId="0" applyBorder="1" applyAlignment="1">
      <alignment vertical="center"/>
    </xf>
    <xf numFmtId="0" fontId="0" fillId="0" borderId="3" xfId="0" applyBorder="1" applyAlignment="1">
      <alignment vertical="center"/>
    </xf>
    <xf numFmtId="14" fontId="9" fillId="0" borderId="2" xfId="0" applyNumberFormat="1" applyFont="1" applyBorder="1">
      <alignment vertical="center"/>
    </xf>
    <xf numFmtId="0" fontId="10" fillId="0" borderId="4" xfId="6" applyNumberFormat="1" applyFont="1" applyFill="1" applyBorder="1" applyAlignment="1">
      <alignment horizontal="left" vertical="center" indent="1"/>
    </xf>
  </cellXfs>
  <cellStyles count="7">
    <cellStyle name="Lien hypertexte" xfId="6" builtinId="8"/>
    <cellStyle name="Normal" xfId="0" builtinId="0" customBuiltin="1"/>
    <cellStyle name="Pourcentage" xfId="1" builtinId="5"/>
    <cellStyle name="Titre" xfId="2" builtinId="15" customBuiltin="1"/>
    <cellStyle name="Titre 1" xfId="3" builtinId="16" customBuiltin="1"/>
    <cellStyle name="Titre 2" xfId="4" builtinId="17" customBuiltin="1"/>
    <cellStyle name="Titre 3" xfId="5" builtinId="18" customBuiltin="1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numFmt numFmtId="13" formatCode="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name val="Century Gothic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entury Gothic"/>
        <scheme val="none"/>
      </font>
      <fill>
        <patternFill patternType="solid">
          <fgColor indexed="64"/>
          <bgColor theme="3" tint="0.39994506668294322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3" formatCode="0%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entury Gothic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entury Gothic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entury Gothic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1" indent="0" justifyLastLine="0" shrinkToFit="0" readingOrder="0"/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6"/>
        </top>
        <bottom style="thin">
          <color theme="6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n">
          <color theme="6" tint="0.39997558519241921"/>
        </top>
      </border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ck">
          <color theme="7" tint="0.39994506668294322"/>
        </top>
        <bottom style="thin">
          <color theme="6" tint="0.39997558519241921"/>
        </bottom>
      </border>
    </dxf>
    <dxf>
      <fill>
        <patternFill>
          <bgColor theme="3" tint="0.79998168889431442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  <border>
        <vertical style="thin">
          <color theme="0"/>
        </vertical>
      </border>
    </dxf>
    <dxf>
      <border>
        <vertical style="thin">
          <color theme="0" tint="-0.24994659260841701"/>
        </vertical>
      </border>
    </dxf>
  </dxfs>
  <tableStyles count="2" defaultTableStyle="To Do List" defaultPivotStyle="PivotStyleMedium13">
    <tableStyle name="To Do List" pivot="0" count="3">
      <tableStyleElement type="wholeTable" dxfId="66"/>
      <tableStyleElement type="headerRow" dxfId="65"/>
      <tableStyleElement type="secondRowStripe" dxfId="64"/>
    </tableStyle>
    <tableStyle name="To Do List Pivot" table="0" count="11">
      <tableStyleElement type="headerRow" dxfId="63"/>
      <tableStyleElement type="totalRow" dxfId="62"/>
      <tableStyleElement type="firstRowStripe" dxfId="61"/>
      <tableStyleElement type="firstColumnStripe" dxfId="60"/>
      <tableStyleElement type="firstSubtotalColumn" dxfId="59"/>
      <tableStyleElement type="firstSubtotalRow" dxfId="58"/>
      <tableStyleElement type="secondSubtotalRow" dxfId="57"/>
      <tableStyleElement type="firstRowSubheading" dxfId="56"/>
      <tableStyleElement type="secondRowSubheading" dxfId="55"/>
      <tableStyleElement type="pageFieldLabels" dxfId="54"/>
      <tableStyleElement type="pageFieldValues" dxfId="53"/>
    </tableStyle>
  </tableStyles>
  <colors>
    <mruColors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% achevé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E20-4526-9EDC-40FC300ADC5A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E20-4526-9EDC-40FC300ADC5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'Liste de metadonnées'!$O$39:$O$40</c:f>
              <c:strCache>
                <c:ptCount val="2"/>
                <c:pt idx="0">
                  <c:v>Achevé</c:v>
                </c:pt>
                <c:pt idx="1">
                  <c:v>En cours de traitement</c:v>
                </c:pt>
              </c:strCache>
            </c:strRef>
          </c:cat>
          <c:val>
            <c:numRef>
              <c:f>'Liste de metadonnées'!$P$39:$P$40</c:f>
              <c:numCache>
                <c:formatCode>0%</c:formatCode>
                <c:ptCount val="2"/>
                <c:pt idx="0">
                  <c:v>0.98863636363636365</c:v>
                </c:pt>
                <c:pt idx="1">
                  <c:v>1.1363636363636354E-2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65-4645-B4FB-2331FAB34E4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Données par puits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5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F90-4A21-9F29-AB20A8CEB82D}"/>
              </c:ext>
            </c:extLst>
          </c:dPt>
          <c:dPt>
            <c:idx val="1"/>
            <c:bubble3D val="0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90-4A21-9F29-AB20A8CEB82D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F90-4A21-9F29-AB20A8CEB82D}"/>
              </c:ext>
            </c:extLst>
          </c:dPt>
          <c:dPt>
            <c:idx val="3"/>
            <c:bubble3D val="0"/>
            <c:spPr>
              <a:solidFill>
                <a:schemeClr val="accent5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F90-4A21-9F29-AB20A8CEB82D}"/>
              </c:ext>
            </c:extLst>
          </c:dPt>
          <c:dPt>
            <c:idx val="4"/>
            <c:bubble3D val="0"/>
            <c:spPr>
              <a:solidFill>
                <a:schemeClr val="accent5">
                  <a:tint val="5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F90-4A21-9F29-AB20A8CEB82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'Liste de metadonnées'!$O$42:$O$46</c:f>
              <c:strCache>
                <c:ptCount val="5"/>
                <c:pt idx="0">
                  <c:v>GPK1</c:v>
                </c:pt>
                <c:pt idx="1">
                  <c:v>GPK2</c:v>
                </c:pt>
                <c:pt idx="2">
                  <c:v>GPK3</c:v>
                </c:pt>
                <c:pt idx="3">
                  <c:v>GPK4</c:v>
                </c:pt>
                <c:pt idx="4">
                  <c:v>EPS1</c:v>
                </c:pt>
              </c:strCache>
            </c:strRef>
          </c:cat>
          <c:val>
            <c:numRef>
              <c:f>'Liste de metadonnées'!$P$42:$P$46</c:f>
              <c:numCache>
                <c:formatCode>General</c:formatCode>
                <c:ptCount val="5"/>
                <c:pt idx="0">
                  <c:v>1.1235955056179775E-2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.00E+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52-4D9A-B909-37DCE84A30D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Type de métadonnées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5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1E8-4A5C-8867-6BCECA1CA187}"/>
              </c:ext>
            </c:extLst>
          </c:dPt>
          <c:dPt>
            <c:idx val="1"/>
            <c:bubble3D val="0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E8-4A5C-8867-6BCECA1CA187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1E8-4A5C-8867-6BCECA1CA187}"/>
              </c:ext>
            </c:extLst>
          </c:dPt>
          <c:dPt>
            <c:idx val="3"/>
            <c:bubble3D val="0"/>
            <c:spPr>
              <a:solidFill>
                <a:schemeClr val="accent5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D02-431A-86F6-9ED5A5D43F61}"/>
              </c:ext>
            </c:extLst>
          </c:dPt>
          <c:dPt>
            <c:idx val="4"/>
            <c:bubble3D val="0"/>
            <c:spPr>
              <a:solidFill>
                <a:schemeClr val="accent5">
                  <a:tint val="5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1E8-4A5C-8867-6BCECA1CA18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'Liste de metadonnées'!$O$33:$O$37</c:f>
              <c:strCache>
                <c:ptCount val="5"/>
                <c:pt idx="0">
                  <c:v>%Log</c:v>
                </c:pt>
                <c:pt idx="1">
                  <c:v>%Well trajectory</c:v>
                </c:pt>
                <c:pt idx="2">
                  <c:v>%stimulation 1993</c:v>
                </c:pt>
                <c:pt idx="3">
                  <c:v>%stimulation 1995</c:v>
                </c:pt>
                <c:pt idx="4">
                  <c:v>%test</c:v>
                </c:pt>
              </c:strCache>
            </c:strRef>
          </c:cat>
          <c:val>
            <c:numRef>
              <c:f>'Liste de metadonnées'!$P$33:$P$37</c:f>
              <c:numCache>
                <c:formatCode>General</c:formatCode>
                <c:ptCount val="5"/>
                <c:pt idx="0">
                  <c:v>1.1363636363636364E-2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2-431A-86F6-9ED5A5D43F6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28572</xdr:rowOff>
    </xdr:from>
    <xdr:to>
      <xdr:col>12</xdr:col>
      <xdr:colOff>19049</xdr:colOff>
      <xdr:row>2</xdr:row>
      <xdr:rowOff>0</xdr:rowOff>
    </xdr:to>
    <xdr:sp macro="" textlink="">
      <xdr:nvSpPr>
        <xdr:cNvPr id="2" name="Title" descr="Liste de tâches" title="Titre de modèle"/>
        <xdr:cNvSpPr txBox="1"/>
      </xdr:nvSpPr>
      <xdr:spPr>
        <a:xfrm>
          <a:off x="552450" y="209547"/>
          <a:ext cx="12363449" cy="1371603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003">
          <a:schemeClr val="dk2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lIns="457200" rtlCol="0" anchor="ctr"/>
        <a:lstStyle/>
        <a:p>
          <a:pPr algn="l"/>
          <a:r>
            <a:rPr lang="en-US" sz="3200">
              <a:solidFill>
                <a:schemeClr val="bg1"/>
              </a:solidFill>
            </a:rPr>
            <a:t>SUIVI D'AVANCEMENT</a:t>
          </a:r>
          <a:r>
            <a:rPr lang="en-US" sz="3200" baseline="0">
              <a:solidFill>
                <a:schemeClr val="bg1"/>
              </a:solidFill>
            </a:rPr>
            <a:t> DE LA PREPARATION</a:t>
          </a:r>
          <a:r>
            <a:rPr lang="en-US" sz="3200">
              <a:solidFill>
                <a:schemeClr val="bg1"/>
              </a:solidFill>
            </a:rPr>
            <a:t> DES METADONNEES</a:t>
          </a:r>
        </a:p>
      </xdr:txBody>
    </xdr:sp>
    <xdr:clientData/>
  </xdr:twoCellAnchor>
  <xdr:twoCellAnchor>
    <xdr:from>
      <xdr:col>12</xdr:col>
      <xdr:colOff>342899</xdr:colOff>
      <xdr:row>1</xdr:row>
      <xdr:rowOff>762000</xdr:rowOff>
    </xdr:from>
    <xdr:to>
      <xdr:col>15</xdr:col>
      <xdr:colOff>1171574</xdr:colOff>
      <xdr:row>1</xdr:row>
      <xdr:rowOff>1362075</xdr:rowOff>
    </xdr:to>
    <xdr:sp macro="" textlink="">
      <xdr:nvSpPr>
        <xdr:cNvPr id="3" name="Title" descr="Liste de tâches" title="Titre de modèle"/>
        <xdr:cNvSpPr txBox="1"/>
      </xdr:nvSpPr>
      <xdr:spPr>
        <a:xfrm flipH="1">
          <a:off x="13363574" y="942975"/>
          <a:ext cx="3895725" cy="600075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003">
          <a:schemeClr val="dk2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lIns="457200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STATISTIQUES</a:t>
          </a:r>
        </a:p>
      </xdr:txBody>
    </xdr:sp>
    <xdr:clientData/>
  </xdr:twoCellAnchor>
  <xdr:twoCellAnchor>
    <xdr:from>
      <xdr:col>12</xdr:col>
      <xdr:colOff>366713</xdr:colOff>
      <xdr:row>21</xdr:row>
      <xdr:rowOff>42861</xdr:rowOff>
    </xdr:from>
    <xdr:to>
      <xdr:col>15</xdr:col>
      <xdr:colOff>1143001</xdr:colOff>
      <xdr:row>29</xdr:row>
      <xdr:rowOff>123824</xdr:rowOff>
    </xdr:to>
    <xdr:graphicFrame macro="">
      <xdr:nvGraphicFramePr>
        <xdr:cNvPr id="13" name="Graphique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366712</xdr:colOff>
      <xdr:row>12</xdr:row>
      <xdr:rowOff>166687</xdr:rowOff>
    </xdr:from>
    <xdr:to>
      <xdr:col>15</xdr:col>
      <xdr:colOff>1152525</xdr:colOff>
      <xdr:row>20</xdr:row>
      <xdr:rowOff>276225</xdr:rowOff>
    </xdr:to>
    <xdr:graphicFrame macro="">
      <xdr:nvGraphicFramePr>
        <xdr:cNvPr id="14" name="Graphique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342898</xdr:colOff>
      <xdr:row>2</xdr:row>
      <xdr:rowOff>28576</xdr:rowOff>
    </xdr:from>
    <xdr:to>
      <xdr:col>15</xdr:col>
      <xdr:colOff>1162049</xdr:colOff>
      <xdr:row>3</xdr:row>
      <xdr:rowOff>323851</xdr:rowOff>
    </xdr:to>
    <xdr:sp macro="" textlink="">
      <xdr:nvSpPr>
        <xdr:cNvPr id="15" name="Title" descr="Liste de tâches" title="Titre de modèle"/>
        <xdr:cNvSpPr txBox="1"/>
      </xdr:nvSpPr>
      <xdr:spPr>
        <a:xfrm flipH="1">
          <a:off x="13363573" y="1609726"/>
          <a:ext cx="3886201" cy="342900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457200" rtlCol="0" anchor="ctr"/>
        <a:lstStyle/>
        <a:p>
          <a:pPr algn="l"/>
          <a:r>
            <a:rPr lang="en-US" sz="1400">
              <a:solidFill>
                <a:schemeClr val="bg1"/>
              </a:solidFill>
            </a:rPr>
            <a:t>GRAPHES</a:t>
          </a:r>
        </a:p>
      </xdr:txBody>
    </xdr:sp>
    <xdr:clientData/>
  </xdr:twoCellAnchor>
  <xdr:twoCellAnchor>
    <xdr:from>
      <xdr:col>13</xdr:col>
      <xdr:colOff>4481</xdr:colOff>
      <xdr:row>30</xdr:row>
      <xdr:rowOff>0</xdr:rowOff>
    </xdr:from>
    <xdr:to>
      <xdr:col>15</xdr:col>
      <xdr:colOff>1171574</xdr:colOff>
      <xdr:row>31</xdr:row>
      <xdr:rowOff>9525</xdr:rowOff>
    </xdr:to>
    <xdr:sp macro="" textlink="">
      <xdr:nvSpPr>
        <xdr:cNvPr id="16" name="Title" descr="Liste de tâches" title="Titre de modèle"/>
        <xdr:cNvSpPr txBox="1"/>
      </xdr:nvSpPr>
      <xdr:spPr>
        <a:xfrm flipH="1">
          <a:off x="13429128" y="10824882"/>
          <a:ext cx="3811681" cy="345702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457200" rtlCol="0" anchor="ctr"/>
        <a:lstStyle/>
        <a:p>
          <a:pPr algn="l"/>
          <a:r>
            <a:rPr lang="en-US" sz="1400">
              <a:solidFill>
                <a:schemeClr val="bg1"/>
              </a:solidFill>
            </a:rPr>
            <a:t>Statistiques</a:t>
          </a:r>
        </a:p>
      </xdr:txBody>
    </xdr:sp>
    <xdr:clientData/>
  </xdr:twoCellAnchor>
  <xdr:twoCellAnchor>
    <xdr:from>
      <xdr:col>12</xdr:col>
      <xdr:colOff>347382</xdr:colOff>
      <xdr:row>3</xdr:row>
      <xdr:rowOff>404532</xdr:rowOff>
    </xdr:from>
    <xdr:to>
      <xdr:col>15</xdr:col>
      <xdr:colOff>1165412</xdr:colOff>
      <xdr:row>11</xdr:row>
      <xdr:rowOff>335056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Liste_de_tâches" displayName="Liste_de_tâches" ref="B4:L93" totalsRowShown="0" headerRowDxfId="52" dataDxfId="51">
  <autoFilter ref="B4:L93"/>
  <tableColumns count="11">
    <tableColumn id="1" name="Titre Métadonnée" dataDxfId="50">
      <calculatedColumnFormula>Metadata!D4</calculatedColumnFormula>
    </tableColumn>
    <tableColumn id="3" name="Date" dataDxfId="49">
      <calculatedColumnFormula>Metadata!L4</calculatedColumnFormula>
    </tableColumn>
    <tableColumn id="8" name="Type de métadonnée" dataDxfId="48">
      <calculatedColumnFormula>Metadata!S3</calculatedColumnFormula>
    </tableColumn>
    <tableColumn id="4" name="Puits/Localisation" dataDxfId="47">
      <calculatedColumnFormula>Metadata!I4</calculatedColumnFormula>
    </tableColumn>
    <tableColumn id="6" name="Donnée existante" dataDxfId="46"/>
    <tableColumn id="12" name="Métadonnée complète" dataDxfId="45"/>
    <tableColumn id="7" name="Métadonnée XML" dataDxfId="44"/>
    <tableColumn id="2" name="Metadonnée validée" dataDxfId="43"/>
    <tableColumn id="5" name="% achevé" dataDxfId="42">
      <calculatedColumnFormula>IF(Liste_de_tâches[[#This Row],[Métadonnée complète]]="Non",10%,IF(Liste_de_tâches[[#This Row],[Donnée existante]]="Non",30%,IF(Liste_de_tâches[[#This Row],[Métadonnée XML]]="Non",50%,IF(Liste_de_tâches[[#This Row],[Metadonnée validée]]="Non",70%,100%))))</calculatedColumnFormula>
    </tableColumn>
    <tableColumn id="9" name="Terminé?" dataDxfId="41">
      <calculatedColumnFormula>IF(Liste_de_tâches[[#This Row],[% achevé]]=1,1,3)</calculatedColumnFormula>
    </tableColumn>
    <tableColumn id="10" name="Notes" dataDxfId="40"/>
  </tableColumns>
  <tableStyleInfo name="To Do List" showFirstColumn="0" showLastColumn="0" showRowStripes="1" showColumnStripes="0"/>
  <extLst>
    <ext xmlns:x14="http://schemas.microsoft.com/office/spreadsheetml/2009/9/main" uri="{504A1905-F514-4f6f-8877-14C23A59335A}">
      <x14:table altText="To-Do List" altTextSummary="List of To-Do details such as, Task, Priority, Status, Start Date, End Date, % Complete, Done/Overdue?, and Notes."/>
    </ext>
  </extLst>
</table>
</file>

<file path=xl/tables/table2.xml><?xml version="1.0" encoding="utf-8"?>
<table xmlns="http://schemas.openxmlformats.org/spreadsheetml/2006/main" id="1" name="Tableau2" displayName="Tableau2" ref="B3:AL91" totalsRowShown="0" headerRowDxfId="39" dataDxfId="38" tableBorderDxfId="37">
  <autoFilter ref="B3:AL91"/>
  <tableColumns count="37">
    <tableColumn id="4" name="Nom du fichier" dataDxfId="36"/>
    <tableColumn id="1" name="Saving_name" dataDxfId="35"/>
    <tableColumn id="2" name="Title" dataDxfId="34"/>
    <tableColumn id="3" name="Abstract" dataDxfId="33"/>
    <tableColumn id="34" name="Groupe" dataDxfId="32"/>
    <tableColumn id="5" name="Data Type" dataDxfId="31"/>
    <tableColumn id="6" name="Geographic coordinate system" dataDxfId="30"/>
    <tableColumn id="7" name="Puits" dataDxfId="29"/>
    <tableColumn id="8" name="Depth1" dataDxfId="28"/>
    <tableColumn id="9" name="Depth2" dataDxfId="27"/>
    <tableColumn id="10" name="Date" dataDxfId="26"/>
    <tableColumn id="11" name="startdate" dataDxfId="25"/>
    <tableColumn id="12" name="end date" dataDxfId="24"/>
    <tableColumn id="13" name="Creation date" dataDxfId="23">
      <calculatedColumnFormula>TODAY()</calculatedColumnFormula>
    </tableColumn>
    <tableColumn id="15" name="Format" dataDxfId="22"/>
    <tableColumn id="16" name="Quality" dataDxfId="21"/>
    <tableColumn id="17" name="Processing step" dataDxfId="20"/>
    <tableColumn id="18" name="subject study" dataDxfId="19"/>
    <tableColumn id="19" name="project phase" dataDxfId="18"/>
    <tableColumn id="20" name="Location" dataDxfId="17"/>
    <tableColumn id="21" name="Variables" dataDxfId="16"/>
    <tableColumn id="22" name="Access constraint" dataDxfId="15"/>
    <tableColumn id="23" name="Use limitation" dataDxfId="14"/>
    <tableColumn id="24" name="citation " dataDxfId="13"/>
    <tableColumn id="25" name="Owner1" dataDxfId="12"/>
    <tableColumn id="38" name="Owner2" dataDxfId="11"/>
    <tableColumn id="37" name="Resource contact" dataDxfId="10"/>
    <tableColumn id="36" name="Distributor" dataDxfId="9"/>
    <tableColumn id="26" name="Contractor" dataDxfId="8"/>
    <tableColumn id="27" name="Sources" dataDxfId="7"/>
    <tableColumn id="28" name="Donnée existante" dataDxfId="6"/>
    <tableColumn id="32" name="Localisation donnée" dataDxfId="5"/>
    <tableColumn id="29" name="Métadonnée complète" dataDxfId="4"/>
    <tableColumn id="30" name="Métadonnée XML" dataDxfId="3"/>
    <tableColumn id="31" name="Metadonnée validée" dataDxfId="2"/>
    <tableColumn id="14" name="% achevé" dataDxfId="1">
      <calculatedColumnFormula>IF(Tableau2[[#This Row],[Métadonnée complète]]="Non",10%,IF(Tableau2[[#This Row],[Donnée existante]]="Non",30%,IF(Tableau2[[#This Row],[Métadonnée XML]]="Non",50%,IF(Tableau2[[#This Row],[Metadonnée validée]]="Non",70%,100%))))</calculatedColumnFormula>
    </tableColumn>
    <tableColumn id="33" name="Terminé?" dataDxfId="0">
      <calculatedColumnFormula>IF(Tableau2[[#This Row],[% achevé]]=1,1,3)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o-Do List">
  <a:themeElements>
    <a:clrScheme name="To-Do List">
      <a:dk1>
        <a:sysClr val="windowText" lastClr="000000"/>
      </a:dk1>
      <a:lt1>
        <a:sysClr val="window" lastClr="FFFFFF"/>
      </a:lt1>
      <a:dk2>
        <a:srgbClr val="2A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F9C9D"/>
      </a:accent5>
      <a:accent6>
        <a:srgbClr val="9E5E9B"/>
      </a:accent6>
      <a:hlink>
        <a:srgbClr val="5F9C9D"/>
      </a:hlink>
      <a:folHlink>
        <a:srgbClr val="9E5E9B"/>
      </a:folHlink>
    </a:clrScheme>
    <a:fontScheme name="To-Do List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Clarity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86000"/>
                <a:satMod val="140000"/>
              </a:schemeClr>
            </a:gs>
            <a:gs pos="45000">
              <a:schemeClr val="phClr">
                <a:tint val="48000"/>
                <a:satMod val="150000"/>
              </a:schemeClr>
            </a:gs>
            <a:gs pos="100000">
              <a:schemeClr val="phClr">
                <a:tint val="28000"/>
                <a:satMod val="16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70000"/>
                <a:satMod val="150000"/>
              </a:schemeClr>
            </a:gs>
            <a:gs pos="34000">
              <a:schemeClr val="phClr">
                <a:shade val="70000"/>
                <a:satMod val="140000"/>
              </a:schemeClr>
            </a:gs>
            <a:gs pos="70000">
              <a:schemeClr val="phClr">
                <a:tint val="100000"/>
                <a:shade val="90000"/>
                <a:satMod val="140000"/>
              </a:schemeClr>
            </a:gs>
            <a:gs pos="100000">
              <a:schemeClr val="phClr">
                <a:tint val="100000"/>
                <a:shade val="100000"/>
                <a:sat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6425" cap="flat" cmpd="sng" algn="ctr">
          <a:solidFill>
            <a:schemeClr val="phClr"/>
          </a:solidFill>
          <a:prstDash val="solid"/>
        </a:ln>
        <a:ln w="444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5100000"/>
            </a:lightRig>
          </a:scene3d>
          <a:sp3d contourW="6350">
            <a:bevelT w="29210" h="12700"/>
            <a:contourClr>
              <a:schemeClr val="phClr">
                <a:shade val="3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 tint="0.39997558519241921"/>
    <pageSetUpPr fitToPage="1"/>
  </sheetPr>
  <dimension ref="B1:R121"/>
  <sheetViews>
    <sheetView showGridLines="0" zoomScale="85" zoomScaleNormal="85" workbookViewId="0">
      <selection activeCell="J137" sqref="J137"/>
    </sheetView>
  </sheetViews>
  <sheetFormatPr baseColWidth="10" defaultColWidth="8.85546875" defaultRowHeight="26.25" customHeight="1" x14ac:dyDescent="0.25"/>
  <cols>
    <col min="1" max="1" width="8.28515625" style="1" customWidth="1"/>
    <col min="2" max="2" width="32.28515625" style="1" customWidth="1"/>
    <col min="3" max="3" width="16.7109375" style="1" customWidth="1"/>
    <col min="4" max="4" width="18.42578125" style="1" customWidth="1"/>
    <col min="5" max="5" width="12.140625" style="1" customWidth="1"/>
    <col min="6" max="6" width="12.7109375" style="1" customWidth="1"/>
    <col min="7" max="7" width="13.85546875" style="37" customWidth="1"/>
    <col min="8" max="8" width="12.85546875" style="37" customWidth="1"/>
    <col min="9" max="9" width="13.7109375" style="1" customWidth="1"/>
    <col min="10" max="10" width="19.5703125" style="1" customWidth="1"/>
    <col min="11" max="11" width="13.42578125" style="1" customWidth="1"/>
    <col min="12" max="12" width="24.42578125" style="1" customWidth="1"/>
    <col min="13" max="13" width="6.28515625" style="1" customWidth="1"/>
    <col min="14" max="14" width="22.42578125" style="1" customWidth="1"/>
    <col min="15" max="15" width="17.28515625" style="1" customWidth="1"/>
    <col min="16" max="16" width="17.7109375" style="1" customWidth="1"/>
    <col min="17" max="17" width="8.85546875" style="1"/>
    <col min="18" max="18" width="16.5703125" style="1" customWidth="1"/>
    <col min="19" max="16384" width="8.85546875" style="1"/>
  </cols>
  <sheetData>
    <row r="1" spans="2:18" ht="14.25" customHeight="1" x14ac:dyDescent="0.25"/>
    <row r="2" spans="2:18" ht="110.25" customHeight="1" x14ac:dyDescent="0.25"/>
    <row r="3" spans="2:18" ht="3.75" customHeight="1" x14ac:dyDescent="0.25"/>
    <row r="4" spans="2:18" s="18" customFormat="1" ht="36" customHeight="1" x14ac:dyDescent="0.25">
      <c r="B4" s="16" t="s">
        <v>7</v>
      </c>
      <c r="C4" s="16" t="s">
        <v>2</v>
      </c>
      <c r="D4" s="16" t="s">
        <v>13</v>
      </c>
      <c r="E4" s="16" t="s">
        <v>3</v>
      </c>
      <c r="F4" s="16" t="s">
        <v>4</v>
      </c>
      <c r="G4" s="38" t="s">
        <v>14</v>
      </c>
      <c r="H4" s="38" t="s">
        <v>5</v>
      </c>
      <c r="I4" s="16" t="s">
        <v>6</v>
      </c>
      <c r="J4" s="17" t="s">
        <v>0</v>
      </c>
      <c r="K4" s="16" t="s">
        <v>46</v>
      </c>
      <c r="L4" s="17" t="s">
        <v>1</v>
      </c>
      <c r="Q4" s="29"/>
      <c r="R4" s="29"/>
    </row>
    <row r="5" spans="2:18" ht="26.25" customHeight="1" x14ac:dyDescent="0.25">
      <c r="B5" s="19" t="str">
        <f>Metadata!D4</f>
        <v>Test</v>
      </c>
      <c r="C5" s="12">
        <f>Metadata!L4</f>
        <v>42694</v>
      </c>
      <c r="D5" s="20" t="str">
        <f>Metadata!F4</f>
        <v>Log</v>
      </c>
      <c r="E5" s="20" t="str">
        <f>Metadata!I4</f>
        <v>GPK1</v>
      </c>
      <c r="F5" s="20" t="str">
        <f>Metadata!AF4</f>
        <v>Non</v>
      </c>
      <c r="G5" s="20" t="str">
        <f>Metadata!AH4</f>
        <v>Non</v>
      </c>
      <c r="H5" s="20" t="str">
        <f>Metadata!AI4</f>
        <v>Non</v>
      </c>
      <c r="I5" s="20" t="str">
        <f>Metadata!AJ4</f>
        <v>Non</v>
      </c>
      <c r="J5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0.1</v>
      </c>
      <c r="K5" s="10">
        <f>IF(Liste_de_tâches[[#This Row],[% achevé]]=1,1,3)</f>
        <v>3</v>
      </c>
      <c r="L5" s="52"/>
      <c r="Q5" s="21"/>
      <c r="R5" s="21"/>
    </row>
    <row r="6" spans="2:18" ht="26.25" customHeight="1" x14ac:dyDescent="0.25">
      <c r="B6" s="19">
        <f>Metadata!D5</f>
        <v>0</v>
      </c>
      <c r="C6" s="12">
        <f>Metadata!L5</f>
        <v>0</v>
      </c>
      <c r="D6" s="20">
        <f>Metadata!F5</f>
        <v>0</v>
      </c>
      <c r="E6" s="20">
        <f>Metadata!I5</f>
        <v>0</v>
      </c>
      <c r="F6" s="20">
        <f>Metadata!AF5</f>
        <v>0</v>
      </c>
      <c r="G6" s="20">
        <f>Metadata!AH5</f>
        <v>0</v>
      </c>
      <c r="H6" s="20">
        <f>Metadata!AI5</f>
        <v>0</v>
      </c>
      <c r="I6" s="20">
        <f>Metadata!AJ5</f>
        <v>0</v>
      </c>
      <c r="J6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" s="10">
        <f>IF(Liste_de_tâches[[#This Row],[% achevé]]=1,1,3)</f>
        <v>1</v>
      </c>
      <c r="L6" s="15"/>
      <c r="Q6" s="21"/>
      <c r="R6" s="21"/>
    </row>
    <row r="7" spans="2:18" ht="26.25" customHeight="1" x14ac:dyDescent="0.25">
      <c r="B7" s="19">
        <f>Metadata!D6</f>
        <v>0</v>
      </c>
      <c r="C7" s="12">
        <f>Metadata!L6</f>
        <v>0</v>
      </c>
      <c r="D7" s="20">
        <f>Metadata!F6</f>
        <v>0</v>
      </c>
      <c r="E7" s="20">
        <f>Metadata!I6</f>
        <v>0</v>
      </c>
      <c r="F7" s="20">
        <f>Metadata!AF6</f>
        <v>0</v>
      </c>
      <c r="G7" s="20">
        <f>Metadata!AH6</f>
        <v>0</v>
      </c>
      <c r="H7" s="20">
        <f>Metadata!AI6</f>
        <v>0</v>
      </c>
      <c r="I7" s="20">
        <f>Metadata!AJ6</f>
        <v>0</v>
      </c>
      <c r="J7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" s="10">
        <f>IF(Liste_de_tâches[[#This Row],[% achevé]]=1,1,3)</f>
        <v>1</v>
      </c>
      <c r="L7" s="15"/>
      <c r="Q7" s="21"/>
      <c r="R7" s="21"/>
    </row>
    <row r="8" spans="2:18" ht="26.25" customHeight="1" x14ac:dyDescent="0.25">
      <c r="B8" s="19">
        <f>Metadata!D7</f>
        <v>0</v>
      </c>
      <c r="C8" s="12">
        <f>Metadata!L7</f>
        <v>0</v>
      </c>
      <c r="D8" s="20">
        <f>Metadata!F7</f>
        <v>0</v>
      </c>
      <c r="E8" s="20">
        <f>Metadata!I7</f>
        <v>0</v>
      </c>
      <c r="F8" s="20">
        <f>Metadata!AF7</f>
        <v>0</v>
      </c>
      <c r="G8" s="20">
        <f>Metadata!AH7</f>
        <v>0</v>
      </c>
      <c r="H8" s="20">
        <f>Metadata!AI7</f>
        <v>0</v>
      </c>
      <c r="I8" s="20">
        <f>Metadata!AJ7</f>
        <v>0</v>
      </c>
      <c r="J8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" s="10">
        <f>IF(Liste_de_tâches[[#This Row],[% achevé]]=1,1,3)</f>
        <v>1</v>
      </c>
      <c r="L8" s="15"/>
      <c r="Q8" s="21"/>
      <c r="R8" s="21"/>
    </row>
    <row r="9" spans="2:18" ht="26.25" customHeight="1" x14ac:dyDescent="0.25">
      <c r="B9" s="19">
        <f>Metadata!D8</f>
        <v>0</v>
      </c>
      <c r="C9" s="12">
        <f>Metadata!L8</f>
        <v>0</v>
      </c>
      <c r="D9" s="20">
        <f>Metadata!F8</f>
        <v>0</v>
      </c>
      <c r="E9" s="20">
        <f>Metadata!I8</f>
        <v>0</v>
      </c>
      <c r="F9" s="20">
        <f>Metadata!AF8</f>
        <v>0</v>
      </c>
      <c r="G9" s="20">
        <f>Metadata!AH8</f>
        <v>0</v>
      </c>
      <c r="H9" s="20">
        <f>Metadata!AI8</f>
        <v>0</v>
      </c>
      <c r="I9" s="20">
        <f>Metadata!AJ8</f>
        <v>0</v>
      </c>
      <c r="J9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9" s="10">
        <f>IF(Liste_de_tâches[[#This Row],[% achevé]]=1,1,3)</f>
        <v>1</v>
      </c>
      <c r="L9" s="13"/>
      <c r="Q9" s="21"/>
      <c r="R9" s="21"/>
    </row>
    <row r="10" spans="2:18" ht="26.25" customHeight="1" x14ac:dyDescent="0.25">
      <c r="B10" s="19">
        <f>Metadata!D9</f>
        <v>0</v>
      </c>
      <c r="C10" s="12">
        <f>Metadata!L9</f>
        <v>0</v>
      </c>
      <c r="D10" s="20">
        <f>Metadata!F9</f>
        <v>0</v>
      </c>
      <c r="E10" s="20">
        <f>Metadata!I9</f>
        <v>0</v>
      </c>
      <c r="F10" s="20">
        <f>Metadata!AF9</f>
        <v>0</v>
      </c>
      <c r="G10" s="20">
        <f>Metadata!AH9</f>
        <v>0</v>
      </c>
      <c r="H10" s="20">
        <f>Metadata!AI9</f>
        <v>0</v>
      </c>
      <c r="I10" s="20">
        <f>Metadata!AJ9</f>
        <v>0</v>
      </c>
      <c r="J10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0" s="10">
        <f>IF(Liste_de_tâches[[#This Row],[% achevé]]=1,1,3)</f>
        <v>1</v>
      </c>
      <c r="L10" s="13"/>
      <c r="Q10" s="21"/>
      <c r="R10" s="21"/>
    </row>
    <row r="11" spans="2:18" ht="26.25" customHeight="1" x14ac:dyDescent="0.25">
      <c r="B11" s="19">
        <f>Metadata!D10</f>
        <v>0</v>
      </c>
      <c r="C11" s="12">
        <f>Metadata!L10</f>
        <v>0</v>
      </c>
      <c r="D11" s="20">
        <f>Metadata!F10</f>
        <v>0</v>
      </c>
      <c r="E11" s="20">
        <f>Metadata!I10</f>
        <v>0</v>
      </c>
      <c r="F11" s="20">
        <f>Metadata!AF10</f>
        <v>0</v>
      </c>
      <c r="G11" s="20">
        <f>Metadata!AH10</f>
        <v>0</v>
      </c>
      <c r="H11" s="20">
        <f>Metadata!AI10</f>
        <v>0</v>
      </c>
      <c r="I11" s="20">
        <f>Metadata!AJ10</f>
        <v>0</v>
      </c>
      <c r="J11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1" s="10">
        <f>IF(Liste_de_tâches[[#This Row],[% achevé]]=1,1,3)</f>
        <v>1</v>
      </c>
      <c r="L11" s="13"/>
      <c r="Q11" s="21"/>
      <c r="R11" s="21"/>
    </row>
    <row r="12" spans="2:18" ht="26.25" customHeight="1" x14ac:dyDescent="0.25">
      <c r="B12" s="19">
        <f>Metadata!D11</f>
        <v>0</v>
      </c>
      <c r="C12" s="11">
        <f>Metadata!L11</f>
        <v>0</v>
      </c>
      <c r="D12" s="20">
        <f>Metadata!F11</f>
        <v>0</v>
      </c>
      <c r="E12" s="20">
        <f>Metadata!I11</f>
        <v>0</v>
      </c>
      <c r="F12" s="20">
        <f>Metadata!AF11</f>
        <v>0</v>
      </c>
      <c r="G12" s="20">
        <f>Metadata!AH11</f>
        <v>0</v>
      </c>
      <c r="H12" s="20">
        <f>Metadata!AI11</f>
        <v>0</v>
      </c>
      <c r="I12" s="20">
        <f>Metadata!AJ11</f>
        <v>0</v>
      </c>
      <c r="J12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2" s="10">
        <f>IF(Liste_de_tâches[[#This Row],[% achevé]]=1,1,3)</f>
        <v>1</v>
      </c>
      <c r="L12" s="13"/>
      <c r="Q12" s="21"/>
      <c r="R12" s="21"/>
    </row>
    <row r="13" spans="2:18" ht="26.25" customHeight="1" x14ac:dyDescent="0.25">
      <c r="B13" s="19">
        <f>Metadata!D12</f>
        <v>0</v>
      </c>
      <c r="C13" s="12">
        <f>Metadata!L12</f>
        <v>0</v>
      </c>
      <c r="D13" s="20">
        <f>Metadata!F12</f>
        <v>0</v>
      </c>
      <c r="E13" s="20">
        <f>Metadata!I12</f>
        <v>0</v>
      </c>
      <c r="F13" s="20">
        <f>Metadata!AF12</f>
        <v>0</v>
      </c>
      <c r="G13" s="20">
        <f>Metadata!AH12</f>
        <v>0</v>
      </c>
      <c r="H13" s="20">
        <f>Metadata!AI12</f>
        <v>0</v>
      </c>
      <c r="I13" s="20">
        <f>Metadata!AJ12</f>
        <v>0</v>
      </c>
      <c r="J13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3" s="10">
        <f>IF(Liste_de_tâches[[#This Row],[% achevé]]=1,1,3)</f>
        <v>1</v>
      </c>
      <c r="L13" s="13"/>
      <c r="Q13" s="21"/>
      <c r="R13" s="21"/>
    </row>
    <row r="14" spans="2:18" ht="26.25" customHeight="1" x14ac:dyDescent="0.25">
      <c r="B14" s="19">
        <f>Metadata!D13</f>
        <v>0</v>
      </c>
      <c r="C14" s="12">
        <f>Metadata!L13</f>
        <v>0</v>
      </c>
      <c r="D14" s="20">
        <f>Metadata!F13</f>
        <v>0</v>
      </c>
      <c r="E14" s="20">
        <f>Metadata!I13</f>
        <v>0</v>
      </c>
      <c r="F14" s="20">
        <f>Metadata!AF13</f>
        <v>0</v>
      </c>
      <c r="G14" s="20">
        <f>Metadata!AH13</f>
        <v>0</v>
      </c>
      <c r="H14" s="20">
        <f>Metadata!AI13</f>
        <v>0</v>
      </c>
      <c r="I14" s="20">
        <f>Metadata!AJ13</f>
        <v>0</v>
      </c>
      <c r="J14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4" s="10">
        <f>IF(Liste_de_tâches[[#This Row],[% achevé]]=1,1,3)</f>
        <v>1</v>
      </c>
      <c r="L14" s="13"/>
      <c r="Q14" s="21"/>
      <c r="R14" s="21"/>
    </row>
    <row r="15" spans="2:18" ht="26.25" customHeight="1" x14ac:dyDescent="0.25">
      <c r="B15" s="19">
        <f>Metadata!D14</f>
        <v>0</v>
      </c>
      <c r="C15" s="12">
        <f>Metadata!L14</f>
        <v>0</v>
      </c>
      <c r="D15" s="20">
        <f>Metadata!F14</f>
        <v>0</v>
      </c>
      <c r="E15" s="20">
        <f>Metadata!I14</f>
        <v>0</v>
      </c>
      <c r="F15" s="20">
        <f>Metadata!AF14</f>
        <v>0</v>
      </c>
      <c r="G15" s="20">
        <f>Metadata!AH14</f>
        <v>0</v>
      </c>
      <c r="H15" s="20">
        <f>Metadata!AI14</f>
        <v>0</v>
      </c>
      <c r="I15" s="20">
        <f>Metadata!AJ14</f>
        <v>0</v>
      </c>
      <c r="J15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5" s="10">
        <f>IF(Liste_de_tâches[[#This Row],[% achevé]]=1,1,3)</f>
        <v>1</v>
      </c>
      <c r="L15" s="13"/>
      <c r="N15" s="21"/>
      <c r="O15" s="21"/>
      <c r="P15" s="21"/>
      <c r="Q15" s="21"/>
      <c r="R15" s="21"/>
    </row>
    <row r="16" spans="2:18" ht="26.25" customHeight="1" x14ac:dyDescent="0.25">
      <c r="B16" s="19">
        <f>Metadata!D15</f>
        <v>0</v>
      </c>
      <c r="C16" s="11">
        <f>Metadata!L15</f>
        <v>0</v>
      </c>
      <c r="D16" s="20">
        <f>Metadata!F15</f>
        <v>0</v>
      </c>
      <c r="E16" s="20">
        <f>Metadata!I15</f>
        <v>0</v>
      </c>
      <c r="F16" s="20">
        <f>Metadata!AF15</f>
        <v>0</v>
      </c>
      <c r="G16" s="20">
        <f>Metadata!AH15</f>
        <v>0</v>
      </c>
      <c r="H16" s="20">
        <f>Metadata!AI15</f>
        <v>0</v>
      </c>
      <c r="I16" s="20">
        <f>Metadata!AJ15</f>
        <v>0</v>
      </c>
      <c r="J16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6" s="10">
        <f>IF(Liste_de_tâches[[#This Row],[% achevé]]=1,1,3)</f>
        <v>1</v>
      </c>
      <c r="L16" s="13"/>
    </row>
    <row r="17" spans="2:12" ht="26.25" customHeight="1" x14ac:dyDescent="0.25">
      <c r="B17" s="19">
        <f>Metadata!D16</f>
        <v>0</v>
      </c>
      <c r="C17" s="12">
        <f>Metadata!L16</f>
        <v>0</v>
      </c>
      <c r="D17" s="20">
        <f>Metadata!F16</f>
        <v>0</v>
      </c>
      <c r="E17" s="20">
        <f>Metadata!I16</f>
        <v>0</v>
      </c>
      <c r="F17" s="20">
        <f>Metadata!AF16</f>
        <v>0</v>
      </c>
      <c r="G17" s="20">
        <f>Metadata!AH16</f>
        <v>0</v>
      </c>
      <c r="H17" s="20">
        <f>Metadata!AI16</f>
        <v>0</v>
      </c>
      <c r="I17" s="20">
        <f>Metadata!AJ16</f>
        <v>0</v>
      </c>
      <c r="J17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7" s="10">
        <f>IF(Liste_de_tâches[[#This Row],[% achevé]]=1,1,3)</f>
        <v>1</v>
      </c>
      <c r="L17" s="13"/>
    </row>
    <row r="18" spans="2:12" ht="26.25" customHeight="1" x14ac:dyDescent="0.25">
      <c r="B18" s="19">
        <f>Metadata!D17</f>
        <v>0</v>
      </c>
      <c r="C18" s="12">
        <f>Metadata!L17</f>
        <v>0</v>
      </c>
      <c r="D18" s="20">
        <f>Metadata!F17</f>
        <v>0</v>
      </c>
      <c r="E18" s="20">
        <f>Metadata!I17</f>
        <v>0</v>
      </c>
      <c r="F18" s="20">
        <f>Metadata!AF17</f>
        <v>0</v>
      </c>
      <c r="G18" s="20">
        <f>Metadata!AH17</f>
        <v>0</v>
      </c>
      <c r="H18" s="20">
        <f>Metadata!AI17</f>
        <v>0</v>
      </c>
      <c r="I18" s="20">
        <f>Metadata!AJ17</f>
        <v>0</v>
      </c>
      <c r="J18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8" s="10">
        <f>IF(Liste_de_tâches[[#This Row],[% achevé]]=1,1,3)</f>
        <v>1</v>
      </c>
      <c r="L18" s="13"/>
    </row>
    <row r="19" spans="2:12" ht="26.25" customHeight="1" x14ac:dyDescent="0.25">
      <c r="B19" s="19">
        <f>Metadata!D18</f>
        <v>0</v>
      </c>
      <c r="C19" s="12">
        <f>Metadata!L18</f>
        <v>0</v>
      </c>
      <c r="D19" s="20">
        <f>Metadata!F18</f>
        <v>0</v>
      </c>
      <c r="E19" s="20">
        <f>Metadata!I18</f>
        <v>0</v>
      </c>
      <c r="F19" s="20">
        <f>Metadata!AF18</f>
        <v>0</v>
      </c>
      <c r="G19" s="20">
        <f>Metadata!AH18</f>
        <v>0</v>
      </c>
      <c r="H19" s="20">
        <f>Metadata!AI18</f>
        <v>0</v>
      </c>
      <c r="I19" s="20">
        <f>Metadata!AJ18</f>
        <v>0</v>
      </c>
      <c r="J19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19" s="10">
        <f>IF(Liste_de_tâches[[#This Row],[% achevé]]=1,1,3)</f>
        <v>1</v>
      </c>
      <c r="L19" s="13"/>
    </row>
    <row r="20" spans="2:12" ht="26.25" customHeight="1" x14ac:dyDescent="0.25">
      <c r="B20" s="19">
        <f>Metadata!D19</f>
        <v>0</v>
      </c>
      <c r="C20" s="11">
        <f>Metadata!L19</f>
        <v>0</v>
      </c>
      <c r="D20" s="20">
        <f>Metadata!F19</f>
        <v>0</v>
      </c>
      <c r="E20" s="20">
        <f>Metadata!I19</f>
        <v>0</v>
      </c>
      <c r="F20" s="20">
        <f>Metadata!AF19</f>
        <v>0</v>
      </c>
      <c r="G20" s="20">
        <f>Metadata!AH19</f>
        <v>0</v>
      </c>
      <c r="H20" s="20">
        <f>Metadata!AI19</f>
        <v>0</v>
      </c>
      <c r="I20" s="20">
        <f>Metadata!AJ19</f>
        <v>0</v>
      </c>
      <c r="J20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0" s="10">
        <f>IF(Liste_de_tâches[[#This Row],[% achevé]]=1,1,3)</f>
        <v>1</v>
      </c>
      <c r="L20" s="13"/>
    </row>
    <row r="21" spans="2:12" ht="26.25" customHeight="1" x14ac:dyDescent="0.25">
      <c r="B21" s="19">
        <f>Metadata!D20</f>
        <v>0</v>
      </c>
      <c r="C21" s="12">
        <f>Metadata!L20</f>
        <v>0</v>
      </c>
      <c r="D21" s="20">
        <f>Metadata!F20</f>
        <v>0</v>
      </c>
      <c r="E21" s="20">
        <f>Metadata!I20</f>
        <v>0</v>
      </c>
      <c r="F21" s="20">
        <f>Metadata!AF20</f>
        <v>0</v>
      </c>
      <c r="G21" s="20">
        <f>Metadata!AH20</f>
        <v>0</v>
      </c>
      <c r="H21" s="20">
        <f>Metadata!AI20</f>
        <v>0</v>
      </c>
      <c r="I21" s="20">
        <f>Metadata!AJ20</f>
        <v>0</v>
      </c>
      <c r="J21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1" s="10">
        <f>IF(Liste_de_tâches[[#This Row],[% achevé]]=1,1,3)</f>
        <v>1</v>
      </c>
      <c r="L21" s="13"/>
    </row>
    <row r="22" spans="2:12" ht="26.25" customHeight="1" x14ac:dyDescent="0.25">
      <c r="B22" s="19">
        <f>Metadata!D21</f>
        <v>0</v>
      </c>
      <c r="C22" s="12">
        <f>Metadata!L21</f>
        <v>0</v>
      </c>
      <c r="D22" s="20">
        <f>Metadata!F21</f>
        <v>0</v>
      </c>
      <c r="E22" s="20">
        <f>Metadata!I21</f>
        <v>0</v>
      </c>
      <c r="F22" s="20">
        <f>Metadata!AF21</f>
        <v>0</v>
      </c>
      <c r="G22" s="20">
        <f>Metadata!AH21</f>
        <v>0</v>
      </c>
      <c r="H22" s="20">
        <f>Metadata!AI21</f>
        <v>0</v>
      </c>
      <c r="I22" s="20">
        <f>Metadata!AJ21</f>
        <v>0</v>
      </c>
      <c r="J22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2" s="10">
        <f>IF(Liste_de_tâches[[#This Row],[% achevé]]=1,1,3)</f>
        <v>1</v>
      </c>
      <c r="L22" s="13"/>
    </row>
    <row r="23" spans="2:12" ht="26.25" customHeight="1" x14ac:dyDescent="0.25">
      <c r="B23" s="19">
        <f>Metadata!D22</f>
        <v>0</v>
      </c>
      <c r="C23" s="12">
        <f>Metadata!L22</f>
        <v>0</v>
      </c>
      <c r="D23" s="20">
        <f>Metadata!F22</f>
        <v>0</v>
      </c>
      <c r="E23" s="20">
        <f>Metadata!I22</f>
        <v>0</v>
      </c>
      <c r="F23" s="20">
        <f>Metadata!AF22</f>
        <v>0</v>
      </c>
      <c r="G23" s="20">
        <f>Metadata!AH22</f>
        <v>0</v>
      </c>
      <c r="H23" s="20">
        <f>Metadata!AI22</f>
        <v>0</v>
      </c>
      <c r="I23" s="20">
        <f>Metadata!AJ22</f>
        <v>0</v>
      </c>
      <c r="J23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3" s="10">
        <f>IF(Liste_de_tâches[[#This Row],[% achevé]]=1,1,3)</f>
        <v>1</v>
      </c>
      <c r="L23" s="13"/>
    </row>
    <row r="24" spans="2:12" ht="26.25" customHeight="1" x14ac:dyDescent="0.25">
      <c r="B24" s="19">
        <f>Metadata!D23</f>
        <v>0</v>
      </c>
      <c r="C24" s="11">
        <f>Metadata!L23</f>
        <v>0</v>
      </c>
      <c r="D24" s="20">
        <f>Metadata!F23</f>
        <v>0</v>
      </c>
      <c r="E24" s="20">
        <f>Metadata!I23</f>
        <v>0</v>
      </c>
      <c r="F24" s="20">
        <f>Metadata!AF23</f>
        <v>0</v>
      </c>
      <c r="G24" s="20">
        <f>Metadata!AH23</f>
        <v>0</v>
      </c>
      <c r="H24" s="20">
        <f>Metadata!AI23</f>
        <v>0</v>
      </c>
      <c r="I24" s="20">
        <f>Metadata!AJ23</f>
        <v>0</v>
      </c>
      <c r="J24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4" s="10">
        <f>IF(Liste_de_tâches[[#This Row],[% achevé]]=1,1,3)</f>
        <v>1</v>
      </c>
      <c r="L24" s="13"/>
    </row>
    <row r="25" spans="2:12" ht="26.25" customHeight="1" x14ac:dyDescent="0.25">
      <c r="B25" s="19">
        <f>Metadata!D24</f>
        <v>0</v>
      </c>
      <c r="C25" s="12">
        <f>Metadata!L24</f>
        <v>0</v>
      </c>
      <c r="D25" s="20">
        <f>Metadata!F24</f>
        <v>0</v>
      </c>
      <c r="E25" s="20">
        <f>Metadata!I24</f>
        <v>0</v>
      </c>
      <c r="F25" s="20">
        <f>Metadata!AF24</f>
        <v>0</v>
      </c>
      <c r="G25" s="20">
        <f>Metadata!AH24</f>
        <v>0</v>
      </c>
      <c r="H25" s="20">
        <f>Metadata!AI24</f>
        <v>0</v>
      </c>
      <c r="I25" s="20">
        <f>Metadata!AJ24</f>
        <v>0</v>
      </c>
      <c r="J25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5" s="10">
        <f>IF(Liste_de_tâches[[#This Row],[% achevé]]=1,1,3)</f>
        <v>1</v>
      </c>
      <c r="L25" s="13"/>
    </row>
    <row r="26" spans="2:12" ht="26.25" customHeight="1" x14ac:dyDescent="0.25">
      <c r="B26" s="19">
        <f>Metadata!D25</f>
        <v>0</v>
      </c>
      <c r="C26" s="12">
        <f>Metadata!L25</f>
        <v>0</v>
      </c>
      <c r="D26" s="20">
        <f>Metadata!F25</f>
        <v>0</v>
      </c>
      <c r="E26" s="20">
        <f>Metadata!I25</f>
        <v>0</v>
      </c>
      <c r="F26" s="20">
        <f>Metadata!AF25</f>
        <v>0</v>
      </c>
      <c r="G26" s="20">
        <f>Metadata!AH25</f>
        <v>0</v>
      </c>
      <c r="H26" s="20">
        <f>Metadata!AI25</f>
        <v>0</v>
      </c>
      <c r="I26" s="20">
        <f>Metadata!AJ25</f>
        <v>0</v>
      </c>
      <c r="J26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6" s="10">
        <f>IF(Liste_de_tâches[[#This Row],[% achevé]]=1,1,3)</f>
        <v>1</v>
      </c>
      <c r="L26" s="13"/>
    </row>
    <row r="27" spans="2:12" ht="26.25" customHeight="1" x14ac:dyDescent="0.25">
      <c r="B27" s="19">
        <f>Metadata!D26</f>
        <v>0</v>
      </c>
      <c r="C27" s="12">
        <f>Metadata!L26</f>
        <v>0</v>
      </c>
      <c r="D27" s="20">
        <f>Metadata!F26</f>
        <v>0</v>
      </c>
      <c r="E27" s="20">
        <f>Metadata!I26</f>
        <v>0</v>
      </c>
      <c r="F27" s="20">
        <f>Metadata!AF26</f>
        <v>0</v>
      </c>
      <c r="G27" s="20">
        <f>Metadata!AH26</f>
        <v>0</v>
      </c>
      <c r="H27" s="20">
        <f>Metadata!AI26</f>
        <v>0</v>
      </c>
      <c r="I27" s="20">
        <f>Metadata!AJ26</f>
        <v>0</v>
      </c>
      <c r="J27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7" s="10">
        <f>IF(Liste_de_tâches[[#This Row],[% achevé]]=1,1,3)</f>
        <v>1</v>
      </c>
      <c r="L27" s="13"/>
    </row>
    <row r="28" spans="2:12" ht="26.25" customHeight="1" x14ac:dyDescent="0.25">
      <c r="B28" s="19">
        <f>Metadata!D27</f>
        <v>0</v>
      </c>
      <c r="C28" s="11">
        <f>Metadata!L27</f>
        <v>0</v>
      </c>
      <c r="D28" s="20">
        <f>Metadata!F27</f>
        <v>0</v>
      </c>
      <c r="E28" s="20">
        <f>Metadata!I27</f>
        <v>0</v>
      </c>
      <c r="F28" s="20">
        <f>Metadata!AF27</f>
        <v>0</v>
      </c>
      <c r="G28" s="20">
        <f>Metadata!AH27</f>
        <v>0</v>
      </c>
      <c r="H28" s="20">
        <f>Metadata!AI27</f>
        <v>0</v>
      </c>
      <c r="I28" s="20">
        <f>Metadata!AJ27</f>
        <v>0</v>
      </c>
      <c r="J28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8" s="10">
        <f>IF(Liste_de_tâches[[#This Row],[% achevé]]=1,1,3)</f>
        <v>1</v>
      </c>
      <c r="L28" s="13"/>
    </row>
    <row r="29" spans="2:12" ht="26.25" customHeight="1" x14ac:dyDescent="0.25">
      <c r="B29" s="19">
        <f>Metadata!D28</f>
        <v>0</v>
      </c>
      <c r="C29" s="12">
        <f>Metadata!L28</f>
        <v>0</v>
      </c>
      <c r="D29" s="20">
        <f>Metadata!F28</f>
        <v>0</v>
      </c>
      <c r="E29" s="20">
        <f>Metadata!I28</f>
        <v>0</v>
      </c>
      <c r="F29" s="20">
        <f>Metadata!AF28</f>
        <v>0</v>
      </c>
      <c r="G29" s="20">
        <f>Metadata!AH28</f>
        <v>0</v>
      </c>
      <c r="H29" s="20">
        <f>Metadata!AI28</f>
        <v>0</v>
      </c>
      <c r="I29" s="20">
        <f>Metadata!AJ28</f>
        <v>0</v>
      </c>
      <c r="J29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29" s="10">
        <f>IF(Liste_de_tâches[[#This Row],[% achevé]]=1,1,3)</f>
        <v>1</v>
      </c>
      <c r="L29" s="13"/>
    </row>
    <row r="30" spans="2:12" ht="26.25" customHeight="1" x14ac:dyDescent="0.25">
      <c r="B30" s="19">
        <f>Metadata!D29</f>
        <v>0</v>
      </c>
      <c r="C30" s="12">
        <f>Metadata!L29</f>
        <v>0</v>
      </c>
      <c r="D30" s="20">
        <f>Metadata!F29</f>
        <v>0</v>
      </c>
      <c r="E30" s="20">
        <f>Metadata!I29</f>
        <v>0</v>
      </c>
      <c r="F30" s="20">
        <f>Metadata!AF29</f>
        <v>0</v>
      </c>
      <c r="G30" s="20">
        <f>Metadata!AH29</f>
        <v>0</v>
      </c>
      <c r="H30" s="20">
        <f>Metadata!AI29</f>
        <v>0</v>
      </c>
      <c r="I30" s="20">
        <f>Metadata!AJ29</f>
        <v>0</v>
      </c>
      <c r="J30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0" s="10">
        <f>IF(Liste_de_tâches[[#This Row],[% achevé]]=1,1,3)</f>
        <v>1</v>
      </c>
      <c r="L30" s="13"/>
    </row>
    <row r="31" spans="2:12" ht="26.25" customHeight="1" x14ac:dyDescent="0.25">
      <c r="B31" s="19">
        <f>Metadata!D30</f>
        <v>0</v>
      </c>
      <c r="C31" s="12">
        <f>Metadata!L30</f>
        <v>0</v>
      </c>
      <c r="D31" s="20">
        <f>Metadata!F30</f>
        <v>0</v>
      </c>
      <c r="E31" s="20">
        <f>Metadata!I30</f>
        <v>0</v>
      </c>
      <c r="F31" s="20">
        <f>Metadata!AF30</f>
        <v>0</v>
      </c>
      <c r="G31" s="20">
        <f>Metadata!AH30</f>
        <v>0</v>
      </c>
      <c r="H31" s="20">
        <f>Metadata!AI30</f>
        <v>0</v>
      </c>
      <c r="I31" s="20">
        <f>Metadata!AJ30</f>
        <v>0</v>
      </c>
      <c r="J31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1" s="10">
        <f>IF(Liste_de_tâches[[#This Row],[% achevé]]=1,1,3)</f>
        <v>1</v>
      </c>
      <c r="L31" s="13"/>
    </row>
    <row r="32" spans="2:12" ht="26.25" customHeight="1" thickBot="1" x14ac:dyDescent="0.3">
      <c r="B32" s="19">
        <f>Metadata!D31</f>
        <v>0</v>
      </c>
      <c r="C32" s="12">
        <f>Metadata!L31</f>
        <v>0</v>
      </c>
      <c r="D32" s="20">
        <f>Metadata!F31</f>
        <v>0</v>
      </c>
      <c r="E32" s="20">
        <f>Metadata!I31</f>
        <v>0</v>
      </c>
      <c r="F32" s="20">
        <f>Metadata!AF31</f>
        <v>0</v>
      </c>
      <c r="G32" s="20">
        <f>Metadata!AH31</f>
        <v>0</v>
      </c>
      <c r="H32" s="20">
        <f>Metadata!AI31</f>
        <v>0</v>
      </c>
      <c r="I32" s="20">
        <f>Metadata!AJ31</f>
        <v>0</v>
      </c>
      <c r="J32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2" s="10">
        <f>IF(Liste_de_tâches[[#This Row],[% achevé]]=1,1,3)</f>
        <v>1</v>
      </c>
      <c r="L32" s="13"/>
    </row>
    <row r="33" spans="2:16" ht="26.25" customHeight="1" x14ac:dyDescent="0.25">
      <c r="B33" s="19">
        <f>Metadata!D32</f>
        <v>0</v>
      </c>
      <c r="C33" s="12">
        <f>Metadata!L32</f>
        <v>0</v>
      </c>
      <c r="D33" s="20">
        <f>Metadata!F32</f>
        <v>0</v>
      </c>
      <c r="E33" s="20">
        <f>Metadata!I32</f>
        <v>0</v>
      </c>
      <c r="F33" s="20">
        <f>Metadata!AF32</f>
        <v>0</v>
      </c>
      <c r="G33" s="20">
        <f>Metadata!AH32</f>
        <v>0</v>
      </c>
      <c r="H33" s="20">
        <f>Metadata!AI32</f>
        <v>0</v>
      </c>
      <c r="I33" s="20">
        <f>Metadata!AJ32</f>
        <v>0</v>
      </c>
      <c r="J33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3" s="10">
        <f>IF(Liste_de_tâches[[#This Row],[% achevé]]=1,1,3)</f>
        <v>1</v>
      </c>
      <c r="L33" s="13"/>
      <c r="N33" s="23" t="s">
        <v>13</v>
      </c>
      <c r="O33" s="24" t="s">
        <v>49</v>
      </c>
      <c r="P33" s="25">
        <f>COUNTIF(D5:D93,"Log")/COUNTA(D5:D93)</f>
        <v>1.1363636363636364E-2</v>
      </c>
    </row>
    <row r="34" spans="2:16" ht="26.25" customHeight="1" x14ac:dyDescent="0.25">
      <c r="B34" s="19">
        <f>Metadata!D33</f>
        <v>0</v>
      </c>
      <c r="C34" s="11">
        <f>Metadata!L33</f>
        <v>0</v>
      </c>
      <c r="D34" s="20">
        <f>Metadata!F33</f>
        <v>0</v>
      </c>
      <c r="E34" s="20">
        <f>Metadata!I33</f>
        <v>0</v>
      </c>
      <c r="F34" s="20">
        <f>Metadata!AF33</f>
        <v>0</v>
      </c>
      <c r="G34" s="20">
        <f>Metadata!AH33</f>
        <v>0</v>
      </c>
      <c r="H34" s="20">
        <f>Metadata!AI33</f>
        <v>0</v>
      </c>
      <c r="I34" s="20">
        <f>Metadata!AJ33</f>
        <v>0</v>
      </c>
      <c r="J34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4" s="10">
        <f>IF(Liste_de_tâches[[#This Row],[% achevé]]=1,1,3)</f>
        <v>1</v>
      </c>
      <c r="L34" s="13"/>
      <c r="N34" s="26"/>
      <c r="O34" s="22" t="s">
        <v>50</v>
      </c>
      <c r="P34" s="30">
        <f>COUNTIF(D5:D93,"Well trajectory")/COUNTA(D5:D93)</f>
        <v>0</v>
      </c>
    </row>
    <row r="35" spans="2:16" ht="26.25" customHeight="1" x14ac:dyDescent="0.25">
      <c r="B35" s="19">
        <f>Metadata!D34</f>
        <v>0</v>
      </c>
      <c r="C35" s="12">
        <f>Metadata!L34</f>
        <v>0</v>
      </c>
      <c r="D35" s="20">
        <f>Metadata!F34</f>
        <v>0</v>
      </c>
      <c r="E35" s="20">
        <f>Metadata!I34</f>
        <v>0</v>
      </c>
      <c r="F35" s="20">
        <f>Metadata!AF34</f>
        <v>0</v>
      </c>
      <c r="G35" s="20">
        <f>Metadata!AH34</f>
        <v>0</v>
      </c>
      <c r="H35" s="20">
        <f>Metadata!AI34</f>
        <v>0</v>
      </c>
      <c r="I35" s="20">
        <f>Metadata!AJ34</f>
        <v>0</v>
      </c>
      <c r="J35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5" s="10">
        <f>IF(Liste_de_tâches[[#This Row],[% achevé]]=1,1,3)</f>
        <v>1</v>
      </c>
      <c r="L35" s="13"/>
      <c r="N35" s="49"/>
      <c r="O35" s="50" t="s">
        <v>55</v>
      </c>
      <c r="P35" s="30">
        <f>COUNTIF(D5:D93,"Stimulation 1993")/COUNTA(D5:D93)</f>
        <v>0</v>
      </c>
    </row>
    <row r="36" spans="2:16" ht="26.25" customHeight="1" x14ac:dyDescent="0.25">
      <c r="B36" s="19">
        <f>Metadata!D35</f>
        <v>0</v>
      </c>
      <c r="C36" s="12">
        <f>Metadata!L35</f>
        <v>0</v>
      </c>
      <c r="D36" s="20">
        <f>Metadata!F35</f>
        <v>0</v>
      </c>
      <c r="E36" s="20">
        <f>Metadata!I35</f>
        <v>0</v>
      </c>
      <c r="F36" s="20">
        <f>Metadata!AF35</f>
        <v>0</v>
      </c>
      <c r="G36" s="20">
        <f>Metadata!AH35</f>
        <v>0</v>
      </c>
      <c r="H36" s="20">
        <f>Metadata!AI35</f>
        <v>0</v>
      </c>
      <c r="I36" s="20">
        <f>Metadata!AJ35</f>
        <v>0</v>
      </c>
      <c r="J36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6" s="10">
        <f>IF(Liste_de_tâches[[#This Row],[% achevé]]=1,1,3)</f>
        <v>1</v>
      </c>
      <c r="L36" s="13"/>
      <c r="N36" s="49"/>
      <c r="O36" s="50" t="s">
        <v>56</v>
      </c>
      <c r="P36" s="30">
        <f>COUNTIF(D5:D93,"Stimulation 1995")/COUNTA(D5:D93)</f>
        <v>0</v>
      </c>
    </row>
    <row r="37" spans="2:16" ht="26.25" customHeight="1" thickBot="1" x14ac:dyDescent="0.3">
      <c r="B37" s="19">
        <f>Metadata!D36</f>
        <v>0</v>
      </c>
      <c r="C37" s="12">
        <f>Metadata!L36</f>
        <v>0</v>
      </c>
      <c r="D37" s="20">
        <f>Metadata!F36</f>
        <v>0</v>
      </c>
      <c r="E37" s="20">
        <f>Metadata!I36</f>
        <v>0</v>
      </c>
      <c r="F37" s="20">
        <f>Metadata!AF36</f>
        <v>0</v>
      </c>
      <c r="G37" s="20">
        <f>Metadata!AH36</f>
        <v>0</v>
      </c>
      <c r="H37" s="20">
        <f>Metadata!AI36</f>
        <v>0</v>
      </c>
      <c r="I37" s="20">
        <f>Metadata!AJ36</f>
        <v>0</v>
      </c>
      <c r="J37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7" s="10">
        <f>IF(Liste_de_tâches[[#This Row],[% achevé]]=1,1,3)</f>
        <v>1</v>
      </c>
      <c r="L37" s="13"/>
      <c r="N37" s="27"/>
      <c r="O37" s="28" t="s">
        <v>51</v>
      </c>
      <c r="P37" s="31">
        <f>COUNTIF(D5:D93,"test")/COUNTA(D5:D93)</f>
        <v>0</v>
      </c>
    </row>
    <row r="38" spans="2:16" ht="26.25" customHeight="1" thickBot="1" x14ac:dyDescent="0.3">
      <c r="B38" s="19">
        <f>Metadata!D37</f>
        <v>0</v>
      </c>
      <c r="C38" s="11">
        <f>Metadata!L37</f>
        <v>0</v>
      </c>
      <c r="D38" s="20">
        <f>Metadata!F37</f>
        <v>0</v>
      </c>
      <c r="E38" s="20">
        <f>Metadata!I37</f>
        <v>0</v>
      </c>
      <c r="F38" s="20">
        <f>Metadata!AF37</f>
        <v>0</v>
      </c>
      <c r="G38" s="20">
        <f>Metadata!AH37</f>
        <v>0</v>
      </c>
      <c r="H38" s="20">
        <f>Metadata!AI37</f>
        <v>0</v>
      </c>
      <c r="I38" s="20">
        <f>Metadata!AJ37</f>
        <v>0</v>
      </c>
      <c r="J38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8" s="10">
        <f>IF(Liste_de_tâches[[#This Row],[% achevé]]=1,1,3)</f>
        <v>1</v>
      </c>
      <c r="L38" s="13"/>
      <c r="N38" s="21"/>
      <c r="O38" s="21"/>
      <c r="P38" s="21"/>
    </row>
    <row r="39" spans="2:16" ht="26.25" customHeight="1" x14ac:dyDescent="0.25">
      <c r="B39" s="19">
        <f>Metadata!D38</f>
        <v>0</v>
      </c>
      <c r="C39" s="12">
        <f>Metadata!L38</f>
        <v>0</v>
      </c>
      <c r="D39" s="20">
        <f>Metadata!F38</f>
        <v>0</v>
      </c>
      <c r="E39" s="20">
        <f>Metadata!I38</f>
        <v>0</v>
      </c>
      <c r="F39" s="20">
        <f>Metadata!AF38</f>
        <v>0</v>
      </c>
      <c r="G39" s="20">
        <f>Metadata!AH38</f>
        <v>0</v>
      </c>
      <c r="H39" s="20">
        <f>Metadata!AI38</f>
        <v>0</v>
      </c>
      <c r="I39" s="20">
        <f>Metadata!AJ38</f>
        <v>0</v>
      </c>
      <c r="J39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39" s="10">
        <f>IF(Liste_de_tâches[[#This Row],[% achevé]]=1,1,3)</f>
        <v>1</v>
      </c>
      <c r="L39" s="13"/>
      <c r="N39" s="32" t="s">
        <v>43</v>
      </c>
      <c r="O39" s="33" t="s">
        <v>53</v>
      </c>
      <c r="P39" s="35">
        <f>COUNTIF(J5:J93,"100%")/COUNTA(J5:J93)</f>
        <v>0.98863636363636365</v>
      </c>
    </row>
    <row r="40" spans="2:16" ht="26.25" customHeight="1" thickBot="1" x14ac:dyDescent="0.3">
      <c r="B40" s="19">
        <f>Metadata!D39</f>
        <v>0</v>
      </c>
      <c r="C40" s="12">
        <f>Metadata!L39</f>
        <v>0</v>
      </c>
      <c r="D40" s="20">
        <f>Metadata!F39</f>
        <v>0</v>
      </c>
      <c r="E40" s="20">
        <f>Metadata!I39</f>
        <v>0</v>
      </c>
      <c r="F40" s="20">
        <f>Metadata!AF39</f>
        <v>0</v>
      </c>
      <c r="G40" s="20">
        <f>Metadata!AH39</f>
        <v>0</v>
      </c>
      <c r="H40" s="20">
        <f>Metadata!AI39</f>
        <v>0</v>
      </c>
      <c r="I40" s="20">
        <f>Metadata!AJ39</f>
        <v>0</v>
      </c>
      <c r="J40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0" s="10">
        <f>IF(Liste_de_tâches[[#This Row],[% achevé]]=1,1,3)</f>
        <v>1</v>
      </c>
      <c r="L40" s="13"/>
      <c r="N40" s="27"/>
      <c r="O40" s="28" t="s">
        <v>54</v>
      </c>
      <c r="P40" s="36">
        <f>1-P39</f>
        <v>1.1363636363636354E-2</v>
      </c>
    </row>
    <row r="41" spans="2:16" ht="26.25" customHeight="1" thickBot="1" x14ac:dyDescent="0.3">
      <c r="B41" s="19">
        <f>Metadata!D40</f>
        <v>0</v>
      </c>
      <c r="C41" s="12">
        <f>Metadata!L40</f>
        <v>0</v>
      </c>
      <c r="D41" s="20">
        <f>Metadata!F40</f>
        <v>0</v>
      </c>
      <c r="E41" s="20">
        <f>Metadata!I40</f>
        <v>0</v>
      </c>
      <c r="F41" s="20">
        <f>Metadata!AF40</f>
        <v>0</v>
      </c>
      <c r="G41" s="20">
        <f>Metadata!AH40</f>
        <v>0</v>
      </c>
      <c r="H41" s="20">
        <f>Metadata!AI40</f>
        <v>0</v>
      </c>
      <c r="I41" s="20">
        <f>Metadata!AJ40</f>
        <v>0</v>
      </c>
      <c r="J41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1" s="10">
        <f>IF(Liste_de_tâches[[#This Row],[% achevé]]=1,1,3)</f>
        <v>1</v>
      </c>
      <c r="L41" s="13"/>
    </row>
    <row r="42" spans="2:16" ht="26.25" customHeight="1" x14ac:dyDescent="0.25">
      <c r="B42" s="19">
        <f>Metadata!D41</f>
        <v>0</v>
      </c>
      <c r="C42" s="11">
        <f>Metadata!L41</f>
        <v>0</v>
      </c>
      <c r="D42" s="20">
        <f>Metadata!F41</f>
        <v>0</v>
      </c>
      <c r="E42" s="20">
        <f>Metadata!I41</f>
        <v>0</v>
      </c>
      <c r="F42" s="20">
        <f>Metadata!AF41</f>
        <v>0</v>
      </c>
      <c r="G42" s="20">
        <f>Metadata!AH41</f>
        <v>0</v>
      </c>
      <c r="H42" s="20">
        <f>Metadata!AI41</f>
        <v>0</v>
      </c>
      <c r="I42" s="20">
        <f>Metadata!AJ41</f>
        <v>0</v>
      </c>
      <c r="J42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2" s="10">
        <f>IF(Liste_de_tâches[[#This Row],[% achevé]]=1,1,3)</f>
        <v>1</v>
      </c>
      <c r="L42" s="13"/>
      <c r="N42" s="32" t="s">
        <v>52</v>
      </c>
      <c r="O42" s="33" t="s">
        <v>8</v>
      </c>
      <c r="P42" s="25">
        <f>COUNTIF(E5:E93,"GPK1")/COUNTA(E4:E93)</f>
        <v>1.1235955056179775E-2</v>
      </c>
    </row>
    <row r="43" spans="2:16" ht="26.25" customHeight="1" x14ac:dyDescent="0.25">
      <c r="B43" s="19">
        <f>Metadata!D42</f>
        <v>0</v>
      </c>
      <c r="C43" s="12">
        <f>Metadata!L42</f>
        <v>0</v>
      </c>
      <c r="D43" s="20">
        <f>Metadata!F42</f>
        <v>0</v>
      </c>
      <c r="E43" s="20">
        <f>Metadata!I42</f>
        <v>0</v>
      </c>
      <c r="F43" s="20">
        <f>Metadata!AF42</f>
        <v>0</v>
      </c>
      <c r="G43" s="20">
        <f>Metadata!AH42</f>
        <v>0</v>
      </c>
      <c r="H43" s="20">
        <f>Metadata!AI42</f>
        <v>0</v>
      </c>
      <c r="I43" s="20">
        <f>Metadata!AJ42</f>
        <v>0</v>
      </c>
      <c r="J43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3" s="10">
        <f>IF(Liste_de_tâches[[#This Row],[% achevé]]=1,1,3)</f>
        <v>1</v>
      </c>
      <c r="L43" s="13"/>
      <c r="N43" s="26"/>
      <c r="O43" s="22" t="s">
        <v>9</v>
      </c>
      <c r="P43" s="30">
        <f>COUNTIF(E5:E93,"GPK2")/COUNTA(E5:E93)</f>
        <v>0</v>
      </c>
    </row>
    <row r="44" spans="2:16" ht="26.25" customHeight="1" x14ac:dyDescent="0.25">
      <c r="B44" s="19">
        <f>Metadata!D43</f>
        <v>0</v>
      </c>
      <c r="C44" s="12">
        <f>Metadata!L43</f>
        <v>0</v>
      </c>
      <c r="D44" s="20">
        <f>Metadata!F43</f>
        <v>0</v>
      </c>
      <c r="E44" s="20">
        <f>Metadata!I43</f>
        <v>0</v>
      </c>
      <c r="F44" s="20">
        <f>Metadata!AF43</f>
        <v>0</v>
      </c>
      <c r="G44" s="20">
        <f>Metadata!AH43</f>
        <v>0</v>
      </c>
      <c r="H44" s="20">
        <f>Metadata!AI43</f>
        <v>0</v>
      </c>
      <c r="I44" s="20">
        <f>Metadata!AJ43</f>
        <v>0</v>
      </c>
      <c r="J44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4" s="10">
        <f>IF(Liste_de_tâches[[#This Row],[% achevé]]=1,1,3)</f>
        <v>1</v>
      </c>
      <c r="L44" s="13"/>
      <c r="N44" s="26"/>
      <c r="O44" s="22" t="s">
        <v>11</v>
      </c>
      <c r="P44" s="30">
        <f>COUNTIF(E5:E93,"GPK3")/COUNTA(E5:E93)</f>
        <v>0</v>
      </c>
    </row>
    <row r="45" spans="2:16" ht="26.25" customHeight="1" x14ac:dyDescent="0.25">
      <c r="B45" s="19">
        <f>Metadata!D44</f>
        <v>0</v>
      </c>
      <c r="C45" s="12">
        <f>Metadata!L44</f>
        <v>0</v>
      </c>
      <c r="D45" s="20">
        <f>Metadata!F44</f>
        <v>0</v>
      </c>
      <c r="E45" s="20">
        <f>Metadata!I44</f>
        <v>0</v>
      </c>
      <c r="F45" s="20">
        <f>Metadata!AF44</f>
        <v>0</v>
      </c>
      <c r="G45" s="20">
        <f>Metadata!AH44</f>
        <v>0</v>
      </c>
      <c r="H45" s="20">
        <f>Metadata!AI44</f>
        <v>0</v>
      </c>
      <c r="I45" s="20">
        <f>Metadata!AJ44</f>
        <v>0</v>
      </c>
      <c r="J45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5" s="10">
        <f>IF(Liste_de_tâches[[#This Row],[% achevé]]=1,1,3)</f>
        <v>1</v>
      </c>
      <c r="L45" s="13"/>
      <c r="N45" s="26"/>
      <c r="O45" s="22" t="s">
        <v>12</v>
      </c>
      <c r="P45" s="30">
        <f>COUNTIF(E5:E93,"GPK4")/COUNTA(E5:E93)</f>
        <v>0</v>
      </c>
    </row>
    <row r="46" spans="2:16" ht="26.25" customHeight="1" thickBot="1" x14ac:dyDescent="0.3">
      <c r="B46" s="19">
        <f>Metadata!D45</f>
        <v>0</v>
      </c>
      <c r="C46" s="11">
        <f>Metadata!L45</f>
        <v>0</v>
      </c>
      <c r="D46" s="20">
        <f>Metadata!F45</f>
        <v>0</v>
      </c>
      <c r="E46" s="20">
        <f>Metadata!I45</f>
        <v>0</v>
      </c>
      <c r="F46" s="20">
        <f>Metadata!AF45</f>
        <v>0</v>
      </c>
      <c r="G46" s="20">
        <f>Metadata!AH45</f>
        <v>0</v>
      </c>
      <c r="H46" s="20">
        <f>Metadata!AI45</f>
        <v>0</v>
      </c>
      <c r="I46" s="20">
        <f>Metadata!AJ45</f>
        <v>0</v>
      </c>
      <c r="J46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6" s="10">
        <f>IF(Liste_de_tâches[[#This Row],[% achevé]]=1,1,3)</f>
        <v>1</v>
      </c>
      <c r="L46" s="13"/>
      <c r="N46" s="27"/>
      <c r="O46" s="28" t="s">
        <v>40</v>
      </c>
      <c r="P46" s="34">
        <f>COUNTIF(E5:E93,"EPS1")/COUNTA(E5:E93)</f>
        <v>0</v>
      </c>
    </row>
    <row r="47" spans="2:16" ht="26.25" customHeight="1" x14ac:dyDescent="0.25">
      <c r="B47" s="19">
        <f>Metadata!D46</f>
        <v>0</v>
      </c>
      <c r="C47" s="12">
        <f>Metadata!L46</f>
        <v>0</v>
      </c>
      <c r="D47" s="20">
        <f>Metadata!F46</f>
        <v>0</v>
      </c>
      <c r="E47" s="20">
        <f>Metadata!I46</f>
        <v>0</v>
      </c>
      <c r="F47" s="20">
        <f>Metadata!AF46</f>
        <v>0</v>
      </c>
      <c r="G47" s="20">
        <f>Metadata!AH46</f>
        <v>0</v>
      </c>
      <c r="H47" s="20">
        <f>Metadata!AI46</f>
        <v>0</v>
      </c>
      <c r="I47" s="20">
        <f>Metadata!AJ46</f>
        <v>0</v>
      </c>
      <c r="J47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7" s="10">
        <f>IF(Liste_de_tâches[[#This Row],[% achevé]]=1,1,3)</f>
        <v>1</v>
      </c>
      <c r="L47" s="13"/>
    </row>
    <row r="48" spans="2:16" ht="26.25" customHeight="1" x14ac:dyDescent="0.25">
      <c r="B48" s="19">
        <f>Metadata!D47</f>
        <v>0</v>
      </c>
      <c r="C48" s="12">
        <f>Metadata!L47</f>
        <v>0</v>
      </c>
      <c r="D48" s="20">
        <f>Metadata!F47</f>
        <v>0</v>
      </c>
      <c r="E48" s="20">
        <f>Metadata!I47</f>
        <v>0</v>
      </c>
      <c r="F48" s="20">
        <f>Metadata!AF47</f>
        <v>0</v>
      </c>
      <c r="G48" s="20">
        <f>Metadata!AH47</f>
        <v>0</v>
      </c>
      <c r="H48" s="20">
        <f>Metadata!AI47</f>
        <v>0</v>
      </c>
      <c r="I48" s="20">
        <f>Metadata!AJ47</f>
        <v>0</v>
      </c>
      <c r="J48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8" s="10">
        <f>IF(Liste_de_tâches[[#This Row],[% achevé]]=1,1,3)</f>
        <v>1</v>
      </c>
      <c r="L48" s="13"/>
    </row>
    <row r="49" spans="2:12" ht="26.25" customHeight="1" x14ac:dyDescent="0.25">
      <c r="B49" s="19">
        <f>Metadata!D48</f>
        <v>0</v>
      </c>
      <c r="C49" s="12">
        <f>Metadata!L48</f>
        <v>0</v>
      </c>
      <c r="D49" s="20">
        <f>Metadata!F48</f>
        <v>0</v>
      </c>
      <c r="E49" s="20">
        <f>Metadata!I48</f>
        <v>0</v>
      </c>
      <c r="F49" s="20">
        <f>Metadata!AF48</f>
        <v>0</v>
      </c>
      <c r="G49" s="20">
        <f>Metadata!AH48</f>
        <v>0</v>
      </c>
      <c r="H49" s="20">
        <f>Metadata!AI48</f>
        <v>0</v>
      </c>
      <c r="I49" s="20">
        <f>Metadata!AJ48</f>
        <v>0</v>
      </c>
      <c r="J49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49" s="10">
        <f>IF(Liste_de_tâches[[#This Row],[% achevé]]=1,1,3)</f>
        <v>1</v>
      </c>
      <c r="L49" s="13"/>
    </row>
    <row r="50" spans="2:12" ht="26.25" customHeight="1" x14ac:dyDescent="0.25">
      <c r="B50" s="19">
        <f>Metadata!D49</f>
        <v>0</v>
      </c>
      <c r="C50" s="11">
        <f>Metadata!L49</f>
        <v>0</v>
      </c>
      <c r="D50" s="20">
        <f>Metadata!F49</f>
        <v>0</v>
      </c>
      <c r="E50" s="20">
        <f>Metadata!I49</f>
        <v>0</v>
      </c>
      <c r="F50" s="20">
        <f>Metadata!AF49</f>
        <v>0</v>
      </c>
      <c r="G50" s="20">
        <f>Metadata!AH49</f>
        <v>0</v>
      </c>
      <c r="H50" s="20">
        <f>Metadata!AI49</f>
        <v>0</v>
      </c>
      <c r="I50" s="20">
        <f>Metadata!AJ49</f>
        <v>0</v>
      </c>
      <c r="J50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0" s="10">
        <f>IF(Liste_de_tâches[[#This Row],[% achevé]]=1,1,3)</f>
        <v>1</v>
      </c>
      <c r="L50" s="13"/>
    </row>
    <row r="51" spans="2:12" ht="26.25" customHeight="1" x14ac:dyDescent="0.25">
      <c r="B51" s="19">
        <f>Metadata!D50</f>
        <v>0</v>
      </c>
      <c r="C51" s="12">
        <f>Metadata!L50</f>
        <v>0</v>
      </c>
      <c r="D51" s="20">
        <f>Metadata!F50</f>
        <v>0</v>
      </c>
      <c r="E51" s="20">
        <f>Metadata!I50</f>
        <v>0</v>
      </c>
      <c r="F51" s="20">
        <f>Metadata!AF50</f>
        <v>0</v>
      </c>
      <c r="G51" s="20">
        <f>Metadata!AH50</f>
        <v>0</v>
      </c>
      <c r="H51" s="20">
        <f>Metadata!AI50</f>
        <v>0</v>
      </c>
      <c r="I51" s="20">
        <f>Metadata!AJ50</f>
        <v>0</v>
      </c>
      <c r="J51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1" s="10">
        <f>IF(Liste_de_tâches[[#This Row],[% achevé]]=1,1,3)</f>
        <v>1</v>
      </c>
      <c r="L51" s="13"/>
    </row>
    <row r="52" spans="2:12" ht="26.25" customHeight="1" x14ac:dyDescent="0.25">
      <c r="B52" s="19">
        <f>Metadata!D51</f>
        <v>0</v>
      </c>
      <c r="C52" s="12">
        <f>Metadata!L51</f>
        <v>0</v>
      </c>
      <c r="D52" s="20">
        <f>Metadata!F51</f>
        <v>0</v>
      </c>
      <c r="E52" s="20">
        <f>Metadata!I51</f>
        <v>0</v>
      </c>
      <c r="F52" s="20">
        <f>Metadata!AF51</f>
        <v>0</v>
      </c>
      <c r="G52" s="20">
        <f>Metadata!AH51</f>
        <v>0</v>
      </c>
      <c r="H52" s="20">
        <f>Metadata!AI51</f>
        <v>0</v>
      </c>
      <c r="I52" s="20">
        <f>Metadata!AJ51</f>
        <v>0</v>
      </c>
      <c r="J52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2" s="10">
        <f>IF(Liste_de_tâches[[#This Row],[% achevé]]=1,1,3)</f>
        <v>1</v>
      </c>
      <c r="L52" s="13"/>
    </row>
    <row r="53" spans="2:12" ht="26.25" customHeight="1" x14ac:dyDescent="0.25">
      <c r="B53" s="19">
        <f>Metadata!D52</f>
        <v>0</v>
      </c>
      <c r="C53" s="12">
        <f>Metadata!L52</f>
        <v>0</v>
      </c>
      <c r="D53" s="20">
        <f>Metadata!F52</f>
        <v>0</v>
      </c>
      <c r="E53" s="20">
        <f>Metadata!I52</f>
        <v>0</v>
      </c>
      <c r="F53" s="20">
        <f>Metadata!AF52</f>
        <v>0</v>
      </c>
      <c r="G53" s="20">
        <f>Metadata!AH52</f>
        <v>0</v>
      </c>
      <c r="H53" s="20">
        <f>Metadata!AI52</f>
        <v>0</v>
      </c>
      <c r="I53" s="20">
        <f>Metadata!AJ52</f>
        <v>0</v>
      </c>
      <c r="J53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3" s="10">
        <f>IF(Liste_de_tâches[[#This Row],[% achevé]]=1,1,3)</f>
        <v>1</v>
      </c>
      <c r="L53" s="13"/>
    </row>
    <row r="54" spans="2:12" ht="26.25" customHeight="1" x14ac:dyDescent="0.25">
      <c r="B54" s="19">
        <f>Metadata!D53</f>
        <v>0</v>
      </c>
      <c r="C54" s="11">
        <f>Metadata!L53</f>
        <v>0</v>
      </c>
      <c r="D54" s="20">
        <f>Metadata!F53</f>
        <v>0</v>
      </c>
      <c r="E54" s="20">
        <f>Metadata!I53</f>
        <v>0</v>
      </c>
      <c r="F54" s="20">
        <f>Metadata!AF53</f>
        <v>0</v>
      </c>
      <c r="G54" s="20">
        <f>Metadata!AH53</f>
        <v>0</v>
      </c>
      <c r="H54" s="20">
        <f>Metadata!AI53</f>
        <v>0</v>
      </c>
      <c r="I54" s="20">
        <f>Metadata!AJ53</f>
        <v>0</v>
      </c>
      <c r="J54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4" s="10">
        <f>IF(Liste_de_tâches[[#This Row],[% achevé]]=1,1,3)</f>
        <v>1</v>
      </c>
      <c r="L54" s="13"/>
    </row>
    <row r="55" spans="2:12" ht="26.25" customHeight="1" x14ac:dyDescent="0.25">
      <c r="B55" s="19">
        <f>Metadata!D54</f>
        <v>0</v>
      </c>
      <c r="C55" s="12">
        <f>Metadata!L54</f>
        <v>0</v>
      </c>
      <c r="D55" s="20">
        <f>Metadata!F54</f>
        <v>0</v>
      </c>
      <c r="E55" s="20">
        <f>Metadata!I54</f>
        <v>0</v>
      </c>
      <c r="F55" s="20">
        <f>Metadata!AF54</f>
        <v>0</v>
      </c>
      <c r="G55" s="20">
        <f>Metadata!AH54</f>
        <v>0</v>
      </c>
      <c r="H55" s="20">
        <f>Metadata!AI54</f>
        <v>0</v>
      </c>
      <c r="I55" s="20">
        <f>Metadata!AJ54</f>
        <v>0</v>
      </c>
      <c r="J55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5" s="10">
        <f>IF(Liste_de_tâches[[#This Row],[% achevé]]=1,1,3)</f>
        <v>1</v>
      </c>
      <c r="L55" s="13"/>
    </row>
    <row r="56" spans="2:12" ht="26.25" customHeight="1" x14ac:dyDescent="0.25">
      <c r="B56" s="19">
        <f>Metadata!D55</f>
        <v>0</v>
      </c>
      <c r="C56" s="12">
        <f>Metadata!L55</f>
        <v>0</v>
      </c>
      <c r="D56" s="20">
        <f>Metadata!F55</f>
        <v>0</v>
      </c>
      <c r="E56" s="20">
        <f>Metadata!I55</f>
        <v>0</v>
      </c>
      <c r="F56" s="20">
        <f>Metadata!AF55</f>
        <v>0</v>
      </c>
      <c r="G56" s="20">
        <f>Metadata!AH55</f>
        <v>0</v>
      </c>
      <c r="H56" s="20">
        <f>Metadata!AI55</f>
        <v>0</v>
      </c>
      <c r="I56" s="20">
        <f>Metadata!AJ55</f>
        <v>0</v>
      </c>
      <c r="J56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6" s="10">
        <f>IF(Liste_de_tâches[[#This Row],[% achevé]]=1,1,3)</f>
        <v>1</v>
      </c>
      <c r="L56" s="13"/>
    </row>
    <row r="57" spans="2:12" ht="26.25" customHeight="1" x14ac:dyDescent="0.25">
      <c r="B57" s="19">
        <f>Metadata!D56</f>
        <v>0</v>
      </c>
      <c r="C57" s="12">
        <f>Metadata!L56</f>
        <v>0</v>
      </c>
      <c r="D57" s="20">
        <f>Metadata!F56</f>
        <v>0</v>
      </c>
      <c r="E57" s="20">
        <f>Metadata!I56</f>
        <v>0</v>
      </c>
      <c r="F57" s="20">
        <f>Metadata!AF56</f>
        <v>0</v>
      </c>
      <c r="G57" s="20">
        <f>Metadata!AH56</f>
        <v>0</v>
      </c>
      <c r="H57" s="20">
        <f>Metadata!AI56</f>
        <v>0</v>
      </c>
      <c r="I57" s="20">
        <f>Metadata!AJ56</f>
        <v>0</v>
      </c>
      <c r="J57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7" s="10">
        <f>IF(Liste_de_tâches[[#This Row],[% achevé]]=1,1,3)</f>
        <v>1</v>
      </c>
      <c r="L57" s="13"/>
    </row>
    <row r="58" spans="2:12" ht="26.25" customHeight="1" x14ac:dyDescent="0.25">
      <c r="B58" s="19">
        <f>Metadata!D57</f>
        <v>0</v>
      </c>
      <c r="C58" s="11">
        <f>Metadata!L57</f>
        <v>0</v>
      </c>
      <c r="D58" s="20">
        <f>Metadata!F57</f>
        <v>0</v>
      </c>
      <c r="E58" s="20">
        <f>Metadata!I57</f>
        <v>0</v>
      </c>
      <c r="F58" s="20">
        <f>Metadata!AF57</f>
        <v>0</v>
      </c>
      <c r="G58" s="20">
        <f>Metadata!AH57</f>
        <v>0</v>
      </c>
      <c r="H58" s="20">
        <f>Metadata!AI57</f>
        <v>0</v>
      </c>
      <c r="I58" s="20">
        <f>Metadata!AJ57</f>
        <v>0</v>
      </c>
      <c r="J58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8" s="10">
        <f>IF(Liste_de_tâches[[#This Row],[% achevé]]=1,1,3)</f>
        <v>1</v>
      </c>
      <c r="L58" s="13"/>
    </row>
    <row r="59" spans="2:12" ht="26.25" customHeight="1" x14ac:dyDescent="0.25">
      <c r="B59" s="19">
        <f>Metadata!D58</f>
        <v>0</v>
      </c>
      <c r="C59" s="12">
        <f>Metadata!L58</f>
        <v>0</v>
      </c>
      <c r="D59" s="20">
        <f>Metadata!F58</f>
        <v>0</v>
      </c>
      <c r="E59" s="20">
        <f>Metadata!I58</f>
        <v>0</v>
      </c>
      <c r="F59" s="20">
        <f>Metadata!AF58</f>
        <v>0</v>
      </c>
      <c r="G59" s="20">
        <f>Metadata!AH58</f>
        <v>0</v>
      </c>
      <c r="H59" s="20">
        <f>Metadata!AI58</f>
        <v>0</v>
      </c>
      <c r="I59" s="20">
        <f>Metadata!AJ58</f>
        <v>0</v>
      </c>
      <c r="J59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59" s="10">
        <f>IF(Liste_de_tâches[[#This Row],[% achevé]]=1,1,3)</f>
        <v>1</v>
      </c>
      <c r="L59" s="13"/>
    </row>
    <row r="60" spans="2:12" ht="26.25" customHeight="1" x14ac:dyDescent="0.25">
      <c r="B60" s="19">
        <f>Metadata!D59</f>
        <v>0</v>
      </c>
      <c r="C60" s="12">
        <f>Metadata!L59</f>
        <v>0</v>
      </c>
      <c r="D60" s="20">
        <f>Metadata!F59</f>
        <v>0</v>
      </c>
      <c r="E60" s="20">
        <f>Metadata!I59</f>
        <v>0</v>
      </c>
      <c r="F60" s="20">
        <f>Metadata!AF59</f>
        <v>0</v>
      </c>
      <c r="G60" s="20">
        <f>Metadata!AH59</f>
        <v>0</v>
      </c>
      <c r="H60" s="20">
        <f>Metadata!AI59</f>
        <v>0</v>
      </c>
      <c r="I60" s="20">
        <f>Metadata!AJ59</f>
        <v>0</v>
      </c>
      <c r="J60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0" s="10">
        <f>IF(Liste_de_tâches[[#This Row],[% achevé]]=1,1,3)</f>
        <v>1</v>
      </c>
      <c r="L60" s="13"/>
    </row>
    <row r="61" spans="2:12" ht="26.25" customHeight="1" x14ac:dyDescent="0.25">
      <c r="B61" s="19">
        <f>Metadata!D60</f>
        <v>0</v>
      </c>
      <c r="C61" s="12">
        <f>Metadata!L60</f>
        <v>0</v>
      </c>
      <c r="D61" s="20">
        <f>Metadata!F60</f>
        <v>0</v>
      </c>
      <c r="E61" s="20">
        <f>Metadata!I60</f>
        <v>0</v>
      </c>
      <c r="F61" s="20">
        <f>Metadata!AF60</f>
        <v>0</v>
      </c>
      <c r="G61" s="20">
        <f>Metadata!AH60</f>
        <v>0</v>
      </c>
      <c r="H61" s="20">
        <f>Metadata!AI60</f>
        <v>0</v>
      </c>
      <c r="I61" s="20">
        <f>Metadata!AJ60</f>
        <v>0</v>
      </c>
      <c r="J61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1" s="10">
        <f>IF(Liste_de_tâches[[#This Row],[% achevé]]=1,1,3)</f>
        <v>1</v>
      </c>
      <c r="L61" s="13"/>
    </row>
    <row r="62" spans="2:12" ht="26.25" customHeight="1" x14ac:dyDescent="0.25">
      <c r="B62" s="19">
        <f>Metadata!D61</f>
        <v>0</v>
      </c>
      <c r="C62" s="11">
        <f>Metadata!L61</f>
        <v>0</v>
      </c>
      <c r="D62" s="20">
        <f>Metadata!F61</f>
        <v>0</v>
      </c>
      <c r="E62" s="20">
        <f>Metadata!I61</f>
        <v>0</v>
      </c>
      <c r="F62" s="20">
        <f>Metadata!AF61</f>
        <v>0</v>
      </c>
      <c r="G62" s="20">
        <f>Metadata!AH61</f>
        <v>0</v>
      </c>
      <c r="H62" s="20">
        <f>Metadata!AI61</f>
        <v>0</v>
      </c>
      <c r="I62" s="20">
        <f>Metadata!AJ61</f>
        <v>0</v>
      </c>
      <c r="J62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2" s="10">
        <f>IF(Liste_de_tâches[[#This Row],[% achevé]]=1,1,3)</f>
        <v>1</v>
      </c>
      <c r="L62" s="13"/>
    </row>
    <row r="63" spans="2:12" ht="26.25" customHeight="1" x14ac:dyDescent="0.25">
      <c r="B63" s="19">
        <f>Metadata!D62</f>
        <v>0</v>
      </c>
      <c r="C63" s="12">
        <f>Metadata!L62</f>
        <v>0</v>
      </c>
      <c r="D63" s="20">
        <f>Metadata!F62</f>
        <v>0</v>
      </c>
      <c r="E63" s="20">
        <f>Metadata!I62</f>
        <v>0</v>
      </c>
      <c r="F63" s="20">
        <f>Metadata!AF62</f>
        <v>0</v>
      </c>
      <c r="G63" s="20">
        <f>Metadata!AH62</f>
        <v>0</v>
      </c>
      <c r="H63" s="20">
        <f>Metadata!AI62</f>
        <v>0</v>
      </c>
      <c r="I63" s="20">
        <f>Metadata!AJ62</f>
        <v>0</v>
      </c>
      <c r="J63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3" s="10">
        <f>IF(Liste_de_tâches[[#This Row],[% achevé]]=1,1,3)</f>
        <v>1</v>
      </c>
      <c r="L63" s="13"/>
    </row>
    <row r="64" spans="2:12" ht="26.25" customHeight="1" x14ac:dyDescent="0.25">
      <c r="B64" s="19">
        <f>Metadata!D63</f>
        <v>0</v>
      </c>
      <c r="C64" s="12">
        <f>Metadata!L63</f>
        <v>0</v>
      </c>
      <c r="D64" s="20">
        <f>Metadata!F63</f>
        <v>0</v>
      </c>
      <c r="E64" s="20">
        <f>Metadata!I63</f>
        <v>0</v>
      </c>
      <c r="F64" s="20">
        <f>Metadata!AF63</f>
        <v>0</v>
      </c>
      <c r="G64" s="20">
        <f>Metadata!AH63</f>
        <v>0</v>
      </c>
      <c r="H64" s="20">
        <f>Metadata!AI63</f>
        <v>0</v>
      </c>
      <c r="I64" s="20">
        <f>Metadata!AJ63</f>
        <v>0</v>
      </c>
      <c r="J64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4" s="10">
        <f>IF(Liste_de_tâches[[#This Row],[% achevé]]=1,1,3)</f>
        <v>1</v>
      </c>
      <c r="L64" s="13"/>
    </row>
    <row r="65" spans="2:12" ht="26.25" customHeight="1" x14ac:dyDescent="0.25">
      <c r="B65" s="19">
        <f>Metadata!D64</f>
        <v>0</v>
      </c>
      <c r="C65" s="12">
        <f>Metadata!L64</f>
        <v>0</v>
      </c>
      <c r="D65" s="20">
        <f>Metadata!F64</f>
        <v>0</v>
      </c>
      <c r="E65" s="20">
        <f>Metadata!I64</f>
        <v>0</v>
      </c>
      <c r="F65" s="20">
        <f>Metadata!AF64</f>
        <v>0</v>
      </c>
      <c r="G65" s="20">
        <f>Metadata!AH64</f>
        <v>0</v>
      </c>
      <c r="H65" s="20">
        <f>Metadata!AI64</f>
        <v>0</v>
      </c>
      <c r="I65" s="20">
        <f>Metadata!AJ64</f>
        <v>0</v>
      </c>
      <c r="J65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5" s="10">
        <f>IF(Liste_de_tâches[[#This Row],[% achevé]]=1,1,3)</f>
        <v>1</v>
      </c>
      <c r="L65" s="13"/>
    </row>
    <row r="66" spans="2:12" ht="26.25" customHeight="1" x14ac:dyDescent="0.25">
      <c r="B66" s="19">
        <f>Metadata!D65</f>
        <v>0</v>
      </c>
      <c r="C66" s="11">
        <f>Metadata!L65</f>
        <v>0</v>
      </c>
      <c r="D66" s="20">
        <f>Metadata!F65</f>
        <v>0</v>
      </c>
      <c r="E66" s="20">
        <f>Metadata!I65</f>
        <v>0</v>
      </c>
      <c r="F66" s="20">
        <f>Metadata!AF65</f>
        <v>0</v>
      </c>
      <c r="G66" s="20">
        <f>Metadata!AH65</f>
        <v>0</v>
      </c>
      <c r="H66" s="20">
        <f>Metadata!AI65</f>
        <v>0</v>
      </c>
      <c r="I66" s="20">
        <f>Metadata!AJ65</f>
        <v>0</v>
      </c>
      <c r="J66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6" s="10">
        <f>IF(Liste_de_tâches[[#This Row],[% achevé]]=1,1,3)</f>
        <v>1</v>
      </c>
      <c r="L66" s="13"/>
    </row>
    <row r="67" spans="2:12" ht="26.25" customHeight="1" x14ac:dyDescent="0.25">
      <c r="B67" s="19">
        <f>Metadata!D66</f>
        <v>0</v>
      </c>
      <c r="C67" s="12">
        <f>Metadata!L66</f>
        <v>0</v>
      </c>
      <c r="D67" s="20">
        <f>Metadata!F66</f>
        <v>0</v>
      </c>
      <c r="E67" s="20">
        <f>Metadata!I66</f>
        <v>0</v>
      </c>
      <c r="F67" s="20">
        <f>Metadata!AF66</f>
        <v>0</v>
      </c>
      <c r="G67" s="20">
        <f>Metadata!AH66</f>
        <v>0</v>
      </c>
      <c r="H67" s="20">
        <f>Metadata!AI66</f>
        <v>0</v>
      </c>
      <c r="I67" s="20">
        <f>Metadata!AJ66</f>
        <v>0</v>
      </c>
      <c r="J67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7" s="10">
        <f>IF(Liste_de_tâches[[#This Row],[% achevé]]=1,1,3)</f>
        <v>1</v>
      </c>
      <c r="L67" s="13"/>
    </row>
    <row r="68" spans="2:12" ht="26.25" customHeight="1" x14ac:dyDescent="0.25">
      <c r="B68" s="19">
        <f>Metadata!D67</f>
        <v>0</v>
      </c>
      <c r="C68" s="12">
        <f>Metadata!L67</f>
        <v>0</v>
      </c>
      <c r="D68" s="20">
        <f>Metadata!F67</f>
        <v>0</v>
      </c>
      <c r="E68" s="20">
        <f>Metadata!I67</f>
        <v>0</v>
      </c>
      <c r="F68" s="20">
        <f>Metadata!AF67</f>
        <v>0</v>
      </c>
      <c r="G68" s="20">
        <f>Metadata!AH67</f>
        <v>0</v>
      </c>
      <c r="H68" s="20">
        <f>Metadata!AI67</f>
        <v>0</v>
      </c>
      <c r="I68" s="20">
        <f>Metadata!AJ67</f>
        <v>0</v>
      </c>
      <c r="J68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8" s="10">
        <f>IF(Liste_de_tâches[[#This Row],[% achevé]]=1,1,3)</f>
        <v>1</v>
      </c>
      <c r="L68" s="13"/>
    </row>
    <row r="69" spans="2:12" ht="26.25" customHeight="1" x14ac:dyDescent="0.25">
      <c r="B69" s="19">
        <f>Metadata!D68</f>
        <v>0</v>
      </c>
      <c r="C69" s="12">
        <f>Metadata!L68</f>
        <v>0</v>
      </c>
      <c r="D69" s="20">
        <f>Metadata!F68</f>
        <v>0</v>
      </c>
      <c r="E69" s="20">
        <f>Metadata!I68</f>
        <v>0</v>
      </c>
      <c r="F69" s="20">
        <f>Metadata!AF68</f>
        <v>0</v>
      </c>
      <c r="G69" s="20">
        <f>Metadata!AH68</f>
        <v>0</v>
      </c>
      <c r="H69" s="20">
        <f>Metadata!AI68</f>
        <v>0</v>
      </c>
      <c r="I69" s="20">
        <f>Metadata!AJ68</f>
        <v>0</v>
      </c>
      <c r="J69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69" s="10">
        <f>IF(Liste_de_tâches[[#This Row],[% achevé]]=1,1,3)</f>
        <v>1</v>
      </c>
      <c r="L69" s="13"/>
    </row>
    <row r="70" spans="2:12" ht="26.25" customHeight="1" x14ac:dyDescent="0.25">
      <c r="B70" s="19">
        <f>Metadata!D69</f>
        <v>0</v>
      </c>
      <c r="C70" s="11">
        <f>Metadata!L69</f>
        <v>0</v>
      </c>
      <c r="D70" s="20">
        <f>Metadata!F69</f>
        <v>0</v>
      </c>
      <c r="E70" s="20">
        <f>Metadata!I69</f>
        <v>0</v>
      </c>
      <c r="F70" s="20">
        <f>Metadata!AF69</f>
        <v>0</v>
      </c>
      <c r="G70" s="20">
        <f>Metadata!AH69</f>
        <v>0</v>
      </c>
      <c r="H70" s="20">
        <f>Metadata!AI69</f>
        <v>0</v>
      </c>
      <c r="I70" s="20">
        <f>Metadata!AJ69</f>
        <v>0</v>
      </c>
      <c r="J70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0" s="10">
        <f>IF(Liste_de_tâches[[#This Row],[% achevé]]=1,1,3)</f>
        <v>1</v>
      </c>
      <c r="L70" s="13"/>
    </row>
    <row r="71" spans="2:12" ht="26.25" customHeight="1" x14ac:dyDescent="0.25">
      <c r="B71" s="19">
        <f>Metadata!D70</f>
        <v>0</v>
      </c>
      <c r="C71" s="12">
        <f>Metadata!L70</f>
        <v>0</v>
      </c>
      <c r="D71" s="20">
        <f>Metadata!F70</f>
        <v>0</v>
      </c>
      <c r="E71" s="20">
        <f>Metadata!I70</f>
        <v>0</v>
      </c>
      <c r="F71" s="20">
        <f>Metadata!AF70</f>
        <v>0</v>
      </c>
      <c r="G71" s="20">
        <f>Metadata!AH70</f>
        <v>0</v>
      </c>
      <c r="H71" s="20">
        <f>Metadata!AI70</f>
        <v>0</v>
      </c>
      <c r="I71" s="20">
        <f>Metadata!AJ70</f>
        <v>0</v>
      </c>
      <c r="J71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1" s="10">
        <f>IF(Liste_de_tâches[[#This Row],[% achevé]]=1,1,3)</f>
        <v>1</v>
      </c>
      <c r="L71" s="13"/>
    </row>
    <row r="72" spans="2:12" ht="26.25" customHeight="1" x14ac:dyDescent="0.25">
      <c r="B72" s="19">
        <f>Metadata!D71</f>
        <v>0</v>
      </c>
      <c r="C72" s="12">
        <f>Metadata!L71</f>
        <v>0</v>
      </c>
      <c r="D72" s="20">
        <f>Metadata!F71</f>
        <v>0</v>
      </c>
      <c r="E72" s="20">
        <f>Metadata!I71</f>
        <v>0</v>
      </c>
      <c r="F72" s="20">
        <f>Metadata!AF71</f>
        <v>0</v>
      </c>
      <c r="G72" s="20">
        <f>Metadata!AH71</f>
        <v>0</v>
      </c>
      <c r="H72" s="20">
        <f>Metadata!AI71</f>
        <v>0</v>
      </c>
      <c r="I72" s="20">
        <f>Metadata!AJ71</f>
        <v>0</v>
      </c>
      <c r="J72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2" s="10">
        <f>IF(Liste_de_tâches[[#This Row],[% achevé]]=1,1,3)</f>
        <v>1</v>
      </c>
      <c r="L72" s="13"/>
    </row>
    <row r="73" spans="2:12" ht="26.25" customHeight="1" x14ac:dyDescent="0.25">
      <c r="B73" s="19">
        <f>Metadata!D72</f>
        <v>0</v>
      </c>
      <c r="C73" s="12">
        <f>Metadata!L72</f>
        <v>0</v>
      </c>
      <c r="D73" s="20">
        <f>Metadata!F72</f>
        <v>0</v>
      </c>
      <c r="E73" s="20">
        <f>Metadata!I72</f>
        <v>0</v>
      </c>
      <c r="F73" s="20">
        <f>Metadata!AF72</f>
        <v>0</v>
      </c>
      <c r="G73" s="20">
        <f>Metadata!AH72</f>
        <v>0</v>
      </c>
      <c r="H73" s="20">
        <f>Metadata!AI72</f>
        <v>0</v>
      </c>
      <c r="I73" s="20">
        <f>Metadata!AJ72</f>
        <v>0</v>
      </c>
      <c r="J73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3" s="10">
        <f>IF(Liste_de_tâches[[#This Row],[% achevé]]=1,1,3)</f>
        <v>1</v>
      </c>
      <c r="L73" s="13"/>
    </row>
    <row r="74" spans="2:12" ht="26.25" customHeight="1" x14ac:dyDescent="0.25">
      <c r="B74" s="19">
        <f>Metadata!D73</f>
        <v>0</v>
      </c>
      <c r="C74" s="11">
        <f>Metadata!L73</f>
        <v>0</v>
      </c>
      <c r="D74" s="20">
        <f>Metadata!F73</f>
        <v>0</v>
      </c>
      <c r="E74" s="20">
        <f>Metadata!I73</f>
        <v>0</v>
      </c>
      <c r="F74" s="20">
        <f>Metadata!AF73</f>
        <v>0</v>
      </c>
      <c r="G74" s="20">
        <f>Metadata!AH73</f>
        <v>0</v>
      </c>
      <c r="H74" s="20">
        <f>Metadata!AI73</f>
        <v>0</v>
      </c>
      <c r="I74" s="20">
        <f>Metadata!AJ73</f>
        <v>0</v>
      </c>
      <c r="J74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4" s="10">
        <f>IF(Liste_de_tâches[[#This Row],[% achevé]]=1,1,3)</f>
        <v>1</v>
      </c>
      <c r="L74" s="13"/>
    </row>
    <row r="75" spans="2:12" ht="26.25" customHeight="1" x14ac:dyDescent="0.25">
      <c r="B75" s="19">
        <f>Metadata!D74</f>
        <v>0</v>
      </c>
      <c r="C75" s="12">
        <f>Metadata!L74</f>
        <v>0</v>
      </c>
      <c r="D75" s="20">
        <f>Metadata!F74</f>
        <v>0</v>
      </c>
      <c r="E75" s="20">
        <f>Metadata!I74</f>
        <v>0</v>
      </c>
      <c r="F75" s="20">
        <f>Metadata!AF74</f>
        <v>0</v>
      </c>
      <c r="G75" s="20">
        <f>Metadata!AH74</f>
        <v>0</v>
      </c>
      <c r="H75" s="20">
        <f>Metadata!AI74</f>
        <v>0</v>
      </c>
      <c r="I75" s="20">
        <f>Metadata!AJ74</f>
        <v>0</v>
      </c>
      <c r="J75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5" s="10">
        <f>IF(Liste_de_tâches[[#This Row],[% achevé]]=1,1,3)</f>
        <v>1</v>
      </c>
      <c r="L75" s="13"/>
    </row>
    <row r="76" spans="2:12" ht="26.25" customHeight="1" x14ac:dyDescent="0.25">
      <c r="B76" s="19">
        <f>Metadata!D75</f>
        <v>0</v>
      </c>
      <c r="C76" s="12">
        <f>Metadata!L75</f>
        <v>0</v>
      </c>
      <c r="D76" s="20">
        <f>Metadata!F75</f>
        <v>0</v>
      </c>
      <c r="E76" s="20">
        <f>Metadata!I75</f>
        <v>0</v>
      </c>
      <c r="F76" s="20">
        <f>Metadata!AF75</f>
        <v>0</v>
      </c>
      <c r="G76" s="20">
        <f>Metadata!AH75</f>
        <v>0</v>
      </c>
      <c r="H76" s="20">
        <f>Metadata!AI75</f>
        <v>0</v>
      </c>
      <c r="I76" s="20">
        <f>Metadata!AJ75</f>
        <v>0</v>
      </c>
      <c r="J76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6" s="10">
        <f>IF(Liste_de_tâches[[#This Row],[% achevé]]=1,1,3)</f>
        <v>1</v>
      </c>
      <c r="L76" s="13"/>
    </row>
    <row r="77" spans="2:12" ht="26.25" customHeight="1" x14ac:dyDescent="0.25">
      <c r="B77" s="19">
        <f>Metadata!D76</f>
        <v>0</v>
      </c>
      <c r="C77" s="12">
        <f>Metadata!L76</f>
        <v>0</v>
      </c>
      <c r="D77" s="20">
        <f>Metadata!F76</f>
        <v>0</v>
      </c>
      <c r="E77" s="20">
        <f>Metadata!I76</f>
        <v>0</v>
      </c>
      <c r="F77" s="20">
        <f>Metadata!AF76</f>
        <v>0</v>
      </c>
      <c r="G77" s="20">
        <f>Metadata!AH76</f>
        <v>0</v>
      </c>
      <c r="H77" s="20">
        <f>Metadata!AI76</f>
        <v>0</v>
      </c>
      <c r="I77" s="20">
        <f>Metadata!AJ76</f>
        <v>0</v>
      </c>
      <c r="J77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7" s="10">
        <f>IF(Liste_de_tâches[[#This Row],[% achevé]]=1,1,3)</f>
        <v>1</v>
      </c>
      <c r="L77" s="13"/>
    </row>
    <row r="78" spans="2:12" ht="26.25" customHeight="1" x14ac:dyDescent="0.25">
      <c r="B78" s="19">
        <f>Metadata!D77</f>
        <v>0</v>
      </c>
      <c r="C78" s="11">
        <f>Metadata!L77</f>
        <v>0</v>
      </c>
      <c r="D78" s="20">
        <f>Metadata!F77</f>
        <v>0</v>
      </c>
      <c r="E78" s="20">
        <f>Metadata!I77</f>
        <v>0</v>
      </c>
      <c r="F78" s="20">
        <f>Metadata!AF77</f>
        <v>0</v>
      </c>
      <c r="G78" s="20">
        <f>Metadata!AH77</f>
        <v>0</v>
      </c>
      <c r="H78" s="20">
        <f>Metadata!AI77</f>
        <v>0</v>
      </c>
      <c r="I78" s="20">
        <f>Metadata!AJ77</f>
        <v>0</v>
      </c>
      <c r="J78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8" s="10">
        <f>IF(Liste_de_tâches[[#This Row],[% achevé]]=1,1,3)</f>
        <v>1</v>
      </c>
      <c r="L78" s="13"/>
    </row>
    <row r="79" spans="2:12" ht="26.25" customHeight="1" x14ac:dyDescent="0.25">
      <c r="B79" s="19">
        <f>Metadata!D78</f>
        <v>0</v>
      </c>
      <c r="C79" s="12">
        <f>Metadata!L78</f>
        <v>0</v>
      </c>
      <c r="D79" s="20">
        <f>Metadata!F78</f>
        <v>0</v>
      </c>
      <c r="E79" s="20">
        <f>Metadata!I78</f>
        <v>0</v>
      </c>
      <c r="F79" s="20">
        <f>Metadata!AF78</f>
        <v>0</v>
      </c>
      <c r="G79" s="20">
        <f>Metadata!AH78</f>
        <v>0</v>
      </c>
      <c r="H79" s="20">
        <f>Metadata!AI78</f>
        <v>0</v>
      </c>
      <c r="I79" s="20">
        <f>Metadata!AJ78</f>
        <v>0</v>
      </c>
      <c r="J79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79" s="10">
        <f>IF(Liste_de_tâches[[#This Row],[% achevé]]=1,1,3)</f>
        <v>1</v>
      </c>
      <c r="L79" s="13"/>
    </row>
    <row r="80" spans="2:12" ht="26.25" customHeight="1" x14ac:dyDescent="0.25">
      <c r="B80" s="19">
        <f>Metadata!D79</f>
        <v>0</v>
      </c>
      <c r="C80" s="12">
        <f>Metadata!L79</f>
        <v>0</v>
      </c>
      <c r="D80" s="20">
        <f>Metadata!F79</f>
        <v>0</v>
      </c>
      <c r="E80" s="20">
        <f>Metadata!I79</f>
        <v>0</v>
      </c>
      <c r="F80" s="20">
        <f>Metadata!AF79</f>
        <v>0</v>
      </c>
      <c r="G80" s="20">
        <f>Metadata!AH79</f>
        <v>0</v>
      </c>
      <c r="H80" s="20">
        <f>Metadata!AI79</f>
        <v>0</v>
      </c>
      <c r="I80" s="20">
        <f>Metadata!AJ79</f>
        <v>0</v>
      </c>
      <c r="J80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0" s="10">
        <f>IF(Liste_de_tâches[[#This Row],[% achevé]]=1,1,3)</f>
        <v>1</v>
      </c>
      <c r="L80" s="13"/>
    </row>
    <row r="81" spans="2:12" ht="26.25" customHeight="1" x14ac:dyDescent="0.25">
      <c r="B81" s="19">
        <f>Metadata!D80</f>
        <v>0</v>
      </c>
      <c r="C81" s="12">
        <f>Metadata!L80</f>
        <v>0</v>
      </c>
      <c r="D81" s="20">
        <f>Metadata!F80</f>
        <v>0</v>
      </c>
      <c r="E81" s="20">
        <f>Metadata!I80</f>
        <v>0</v>
      </c>
      <c r="F81" s="20">
        <f>Metadata!AF80</f>
        <v>0</v>
      </c>
      <c r="G81" s="20">
        <f>Metadata!AH80</f>
        <v>0</v>
      </c>
      <c r="H81" s="20">
        <f>Metadata!AI80</f>
        <v>0</v>
      </c>
      <c r="I81" s="20">
        <f>Metadata!AJ80</f>
        <v>0</v>
      </c>
      <c r="J81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1" s="10">
        <f>IF(Liste_de_tâches[[#This Row],[% achevé]]=1,1,3)</f>
        <v>1</v>
      </c>
      <c r="L81" s="13"/>
    </row>
    <row r="82" spans="2:12" ht="26.25" customHeight="1" x14ac:dyDescent="0.25">
      <c r="B82" s="19">
        <f>Metadata!D81</f>
        <v>0</v>
      </c>
      <c r="C82" s="11">
        <f>Metadata!L81</f>
        <v>0</v>
      </c>
      <c r="D82" s="20">
        <f>Metadata!F81</f>
        <v>0</v>
      </c>
      <c r="E82" s="20">
        <f>Metadata!I81</f>
        <v>0</v>
      </c>
      <c r="F82" s="20">
        <f>Metadata!AF81</f>
        <v>0</v>
      </c>
      <c r="G82" s="20">
        <f>Metadata!AH81</f>
        <v>0</v>
      </c>
      <c r="H82" s="20">
        <f>Metadata!AI81</f>
        <v>0</v>
      </c>
      <c r="I82" s="20">
        <f>Metadata!AJ81</f>
        <v>0</v>
      </c>
      <c r="J82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2" s="10">
        <f>IF(Liste_de_tâches[[#This Row],[% achevé]]=1,1,3)</f>
        <v>1</v>
      </c>
      <c r="L82" s="14"/>
    </row>
    <row r="83" spans="2:12" ht="26.25" customHeight="1" x14ac:dyDescent="0.25">
      <c r="B83" s="19">
        <f>Metadata!D82</f>
        <v>0</v>
      </c>
      <c r="C83" s="12">
        <f>Metadata!L82</f>
        <v>0</v>
      </c>
      <c r="D83" s="20">
        <f>Metadata!F82</f>
        <v>0</v>
      </c>
      <c r="E83" s="20">
        <f>Metadata!I82</f>
        <v>0</v>
      </c>
      <c r="F83" s="20">
        <f>Metadata!AF82</f>
        <v>0</v>
      </c>
      <c r="G83" s="20">
        <f>Metadata!AH82</f>
        <v>0</v>
      </c>
      <c r="H83" s="20">
        <f>Metadata!AI82</f>
        <v>0</v>
      </c>
      <c r="I83" s="20">
        <f>Metadata!AJ82</f>
        <v>0</v>
      </c>
      <c r="J83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3" s="10">
        <f>IF(Liste_de_tâches[[#This Row],[% achevé]]=1,1,3)</f>
        <v>1</v>
      </c>
      <c r="L83" s="13"/>
    </row>
    <row r="84" spans="2:12" ht="26.25" customHeight="1" x14ac:dyDescent="0.25">
      <c r="B84" s="19">
        <f>Metadata!D83</f>
        <v>0</v>
      </c>
      <c r="C84" s="12">
        <f>Metadata!N83</f>
        <v>0</v>
      </c>
      <c r="D84" s="20">
        <f>Metadata!F83</f>
        <v>0</v>
      </c>
      <c r="E84" s="20">
        <f>Metadata!I83</f>
        <v>0</v>
      </c>
      <c r="F84" s="20">
        <f>Metadata!AF83</f>
        <v>0</v>
      </c>
      <c r="G84" s="20">
        <f>Metadata!AH83</f>
        <v>0</v>
      </c>
      <c r="H84" s="20">
        <f>Metadata!AI83</f>
        <v>0</v>
      </c>
      <c r="I84" s="20">
        <f>Metadata!AJ83</f>
        <v>0</v>
      </c>
      <c r="J84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4" s="10">
        <f>IF(Liste_de_tâches[[#This Row],[% achevé]]=1,1,3)</f>
        <v>1</v>
      </c>
      <c r="L84" s="13"/>
    </row>
    <row r="85" spans="2:12" ht="26.25" customHeight="1" x14ac:dyDescent="0.25">
      <c r="B85" s="19">
        <f>Metadata!D84</f>
        <v>0</v>
      </c>
      <c r="C85" s="12">
        <f>Metadata!N84</f>
        <v>0</v>
      </c>
      <c r="D85" s="20">
        <f>Metadata!F84</f>
        <v>0</v>
      </c>
      <c r="E85" s="20">
        <f>Metadata!I84</f>
        <v>0</v>
      </c>
      <c r="F85" s="20">
        <f>Metadata!AF84</f>
        <v>0</v>
      </c>
      <c r="G85" s="20">
        <f>Metadata!AH84</f>
        <v>0</v>
      </c>
      <c r="H85" s="20">
        <f>Metadata!AI84</f>
        <v>0</v>
      </c>
      <c r="I85" s="20">
        <f>Metadata!AJ84</f>
        <v>0</v>
      </c>
      <c r="J85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5" s="10">
        <f>IF(Liste_de_tâches[[#This Row],[% achevé]]=1,1,3)</f>
        <v>1</v>
      </c>
      <c r="L85" s="13"/>
    </row>
    <row r="86" spans="2:12" ht="26.25" customHeight="1" x14ac:dyDescent="0.25">
      <c r="B86" s="19">
        <f>Metadata!D85</f>
        <v>0</v>
      </c>
      <c r="C86" s="12">
        <f>Metadata!N85</f>
        <v>0</v>
      </c>
      <c r="D86" s="20">
        <f>Metadata!F85</f>
        <v>0</v>
      </c>
      <c r="E86" s="20">
        <f>Metadata!I85</f>
        <v>0</v>
      </c>
      <c r="F86" s="20">
        <f>Metadata!AF85</f>
        <v>0</v>
      </c>
      <c r="G86" s="20">
        <f>Metadata!AH85</f>
        <v>0</v>
      </c>
      <c r="H86" s="20">
        <f>Metadata!AI85</f>
        <v>0</v>
      </c>
      <c r="I86" s="20">
        <f>Metadata!AJ85</f>
        <v>0</v>
      </c>
      <c r="J86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6" s="10">
        <f>IF(Liste_de_tâches[[#This Row],[% achevé]]=1,1,3)</f>
        <v>1</v>
      </c>
      <c r="L86" s="13"/>
    </row>
    <row r="87" spans="2:12" ht="26.25" customHeight="1" x14ac:dyDescent="0.25">
      <c r="B87" s="19">
        <f>Metadata!D86</f>
        <v>0</v>
      </c>
      <c r="C87" s="12">
        <f>Metadata!N86</f>
        <v>0</v>
      </c>
      <c r="D87" s="20">
        <f>Metadata!F86</f>
        <v>0</v>
      </c>
      <c r="E87" s="20">
        <f>Metadata!I86</f>
        <v>0</v>
      </c>
      <c r="F87" s="20">
        <f>Metadata!AF86</f>
        <v>0</v>
      </c>
      <c r="G87" s="20">
        <f>Metadata!AH86</f>
        <v>0</v>
      </c>
      <c r="H87" s="20">
        <f>Metadata!AI86</f>
        <v>0</v>
      </c>
      <c r="I87" s="20">
        <f>Metadata!AJ86</f>
        <v>0</v>
      </c>
      <c r="J87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7" s="10">
        <f>IF(Liste_de_tâches[[#This Row],[% achevé]]=1,1,3)</f>
        <v>1</v>
      </c>
      <c r="L87" s="13"/>
    </row>
    <row r="88" spans="2:12" ht="26.25" customHeight="1" x14ac:dyDescent="0.25">
      <c r="B88" s="19">
        <f>Metadata!D87</f>
        <v>0</v>
      </c>
      <c r="C88" s="12">
        <f>Metadata!N87</f>
        <v>0</v>
      </c>
      <c r="D88" s="20">
        <f>Metadata!F87</f>
        <v>0</v>
      </c>
      <c r="E88" s="20">
        <f>Metadata!I87</f>
        <v>0</v>
      </c>
      <c r="F88" s="20">
        <f>Metadata!AF87</f>
        <v>0</v>
      </c>
      <c r="G88" s="20">
        <f>Metadata!AH87</f>
        <v>0</v>
      </c>
      <c r="H88" s="20">
        <f>Metadata!AI87</f>
        <v>0</v>
      </c>
      <c r="I88" s="20">
        <f>Metadata!AJ87</f>
        <v>0</v>
      </c>
      <c r="J88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8" s="10">
        <f>IF(Liste_de_tâches[[#This Row],[% achevé]]=1,1,3)</f>
        <v>1</v>
      </c>
      <c r="L88" s="13"/>
    </row>
    <row r="89" spans="2:12" ht="26.25" customHeight="1" x14ac:dyDescent="0.25">
      <c r="B89" s="19">
        <f>Metadata!D88</f>
        <v>0</v>
      </c>
      <c r="C89" s="12">
        <f>Metadata!N88</f>
        <v>0</v>
      </c>
      <c r="D89" s="20">
        <f>Metadata!F88</f>
        <v>0</v>
      </c>
      <c r="E89" s="20">
        <f>Metadata!I88</f>
        <v>0</v>
      </c>
      <c r="F89" s="20">
        <f>Metadata!AF88</f>
        <v>0</v>
      </c>
      <c r="G89" s="20">
        <f>Metadata!AH88</f>
        <v>0</v>
      </c>
      <c r="H89" s="20">
        <f>Metadata!AI88</f>
        <v>0</v>
      </c>
      <c r="I89" s="20">
        <f>Metadata!AJ88</f>
        <v>0</v>
      </c>
      <c r="J89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89" s="10">
        <f>IF(Liste_de_tâches[[#This Row],[% achevé]]=1,1,3)</f>
        <v>1</v>
      </c>
      <c r="L89" s="13"/>
    </row>
    <row r="90" spans="2:12" ht="26.25" customHeight="1" x14ac:dyDescent="0.25">
      <c r="B90" s="19">
        <f>Metadata!D89</f>
        <v>0</v>
      </c>
      <c r="C90" s="12">
        <f>Metadata!N89</f>
        <v>0</v>
      </c>
      <c r="D90" s="20">
        <f>Metadata!F89</f>
        <v>0</v>
      </c>
      <c r="E90" s="20">
        <f>Metadata!I89</f>
        <v>0</v>
      </c>
      <c r="F90" s="20">
        <f>Metadata!AF89</f>
        <v>0</v>
      </c>
      <c r="G90" s="20">
        <f>Metadata!AH89</f>
        <v>0</v>
      </c>
      <c r="H90" s="20">
        <f>Metadata!AI89</f>
        <v>0</v>
      </c>
      <c r="I90" s="20">
        <f>Metadata!AJ89</f>
        <v>0</v>
      </c>
      <c r="J90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90" s="10">
        <f>IF(Liste_de_tâches[[#This Row],[% achevé]]=1,1,3)</f>
        <v>1</v>
      </c>
      <c r="L90" s="13"/>
    </row>
    <row r="91" spans="2:12" ht="26.25" customHeight="1" x14ac:dyDescent="0.25">
      <c r="B91" s="19">
        <f>Metadata!D90</f>
        <v>0</v>
      </c>
      <c r="C91" s="12">
        <f>Metadata!N90</f>
        <v>0</v>
      </c>
      <c r="D91" s="20">
        <f>Metadata!F90</f>
        <v>0</v>
      </c>
      <c r="E91" s="20">
        <f>Metadata!I90</f>
        <v>0</v>
      </c>
      <c r="F91" s="20">
        <f>Metadata!AF90</f>
        <v>0</v>
      </c>
      <c r="G91" s="20">
        <f>Metadata!AH90</f>
        <v>0</v>
      </c>
      <c r="H91" s="20">
        <f>Metadata!AI90</f>
        <v>0</v>
      </c>
      <c r="I91" s="20">
        <f>Metadata!AJ90</f>
        <v>0</v>
      </c>
      <c r="J91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91" s="10">
        <f>IF(Liste_de_tâches[[#This Row],[% achevé]]=1,1,3)</f>
        <v>1</v>
      </c>
      <c r="L91" s="13"/>
    </row>
    <row r="92" spans="2:12" ht="26.25" customHeight="1" x14ac:dyDescent="0.25">
      <c r="B92" s="19">
        <f>Metadata!D91</f>
        <v>0</v>
      </c>
      <c r="C92" s="12">
        <f>Metadata!N91</f>
        <v>0</v>
      </c>
      <c r="D92" s="20">
        <f>Metadata!F91</f>
        <v>0</v>
      </c>
      <c r="E92" s="20">
        <f>Metadata!I91</f>
        <v>0</v>
      </c>
      <c r="F92" s="20">
        <f>Metadata!AF91</f>
        <v>0</v>
      </c>
      <c r="G92" s="20">
        <f>Metadata!AH91</f>
        <v>0</v>
      </c>
      <c r="H92" s="20">
        <f>Metadata!AI91</f>
        <v>0</v>
      </c>
      <c r="I92" s="20">
        <f>Metadata!AJ91</f>
        <v>0</v>
      </c>
      <c r="J92" s="4">
        <f>IF(Liste_de_tâches[[#This Row],[Métadonnée complète]]="Non",10%,IF(Liste_de_tâches[[#This Row],[Donnée existante]]="Non",30%,IF(Liste_de_tâches[[#This Row],[Métadonnée XML]]="Non",50%,IF(Liste_de_tâches[[#This Row],[Metadonnée validée]]="Non",70%,100%))))</f>
        <v>1</v>
      </c>
      <c r="K92" s="10">
        <f>IF(Liste_de_tâches[[#This Row],[% achevé]]=1,1,3)</f>
        <v>1</v>
      </c>
      <c r="L92" s="13"/>
    </row>
    <row r="93" spans="2:12" ht="26.25" customHeight="1" x14ac:dyDescent="0.25">
      <c r="B93" s="19"/>
      <c r="C93" s="12"/>
      <c r="D93" s="20"/>
      <c r="E93" s="20"/>
      <c r="F93" s="20"/>
      <c r="G93" s="20"/>
      <c r="H93" s="20"/>
      <c r="I93" s="20"/>
      <c r="J93" s="4"/>
      <c r="K93" s="10"/>
      <c r="L93" s="13"/>
    </row>
    <row r="94" spans="2:12" ht="26.25" customHeight="1" x14ac:dyDescent="0.25">
      <c r="B94" s="5"/>
      <c r="C94" s="7"/>
      <c r="D94" s="7"/>
      <c r="E94" s="9"/>
      <c r="F94" s="3"/>
      <c r="G94" s="20"/>
      <c r="H94" s="20"/>
      <c r="I94" s="3"/>
      <c r="J94" s="4"/>
      <c r="K94" s="2"/>
      <c r="L94" s="5"/>
    </row>
    <row r="95" spans="2:12" ht="26.25" customHeight="1" x14ac:dyDescent="0.25">
      <c r="B95" s="3"/>
      <c r="C95" s="6"/>
      <c r="D95" s="6"/>
      <c r="E95" s="9"/>
      <c r="F95" s="3"/>
      <c r="G95" s="20"/>
      <c r="H95" s="20"/>
      <c r="I95" s="3"/>
      <c r="J95" s="4"/>
      <c r="K95" s="2"/>
      <c r="L95" s="3"/>
    </row>
    <row r="96" spans="2:12" ht="26.25" customHeight="1" x14ac:dyDescent="0.25">
      <c r="B96" s="3"/>
      <c r="C96" s="6"/>
      <c r="D96" s="6"/>
      <c r="E96" s="9"/>
      <c r="F96" s="3"/>
      <c r="G96" s="20"/>
      <c r="H96" s="20"/>
      <c r="I96" s="3"/>
      <c r="J96" s="4"/>
      <c r="K96" s="2"/>
      <c r="L96" s="3"/>
    </row>
    <row r="97" spans="2:12" ht="26.25" customHeight="1" x14ac:dyDescent="0.25">
      <c r="B97" s="3"/>
      <c r="C97" s="6"/>
      <c r="D97" s="6"/>
      <c r="E97" s="9"/>
      <c r="F97" s="3"/>
      <c r="G97" s="20"/>
      <c r="H97" s="20"/>
      <c r="I97" s="3"/>
      <c r="J97" s="4"/>
      <c r="K97" s="2"/>
      <c r="L97" s="3"/>
    </row>
    <row r="98" spans="2:12" ht="26.25" customHeight="1" x14ac:dyDescent="0.25">
      <c r="B98" s="5"/>
      <c r="C98" s="7"/>
      <c r="D98" s="7"/>
      <c r="E98" s="9"/>
      <c r="F98" s="3"/>
      <c r="G98" s="20"/>
      <c r="H98" s="20"/>
      <c r="I98" s="3"/>
      <c r="J98" s="4"/>
      <c r="K98" s="2"/>
      <c r="L98" s="5"/>
    </row>
    <row r="99" spans="2:12" ht="26.25" customHeight="1" x14ac:dyDescent="0.25">
      <c r="B99" s="3"/>
      <c r="C99" s="6"/>
      <c r="D99" s="6"/>
      <c r="E99" s="9"/>
      <c r="F99" s="3"/>
      <c r="G99" s="20"/>
      <c r="H99" s="20"/>
      <c r="I99" s="3"/>
      <c r="J99" s="4"/>
      <c r="K99" s="2"/>
      <c r="L99" s="3"/>
    </row>
    <row r="100" spans="2:12" ht="26.25" customHeight="1" x14ac:dyDescent="0.25">
      <c r="B100" s="3"/>
      <c r="C100" s="6"/>
      <c r="D100" s="6"/>
      <c r="E100" s="9"/>
      <c r="F100" s="3"/>
      <c r="G100" s="20"/>
      <c r="H100" s="20"/>
      <c r="I100" s="3"/>
      <c r="J100" s="4"/>
      <c r="K100" s="2"/>
      <c r="L100" s="3"/>
    </row>
    <row r="101" spans="2:12" ht="26.25" customHeight="1" x14ac:dyDescent="0.25">
      <c r="B101" s="3"/>
      <c r="C101" s="6"/>
      <c r="D101" s="6"/>
      <c r="E101" s="9"/>
      <c r="F101" s="3"/>
      <c r="G101" s="20"/>
      <c r="H101" s="20"/>
      <c r="I101" s="3"/>
      <c r="J101" s="4"/>
      <c r="K101" s="2"/>
      <c r="L101" s="3"/>
    </row>
    <row r="102" spans="2:12" ht="26.25" customHeight="1" x14ac:dyDescent="0.25">
      <c r="B102" s="5"/>
      <c r="C102" s="7"/>
      <c r="D102" s="7"/>
      <c r="E102" s="9"/>
      <c r="F102" s="3"/>
      <c r="G102" s="20"/>
      <c r="H102" s="20"/>
      <c r="I102" s="3"/>
      <c r="J102" s="4"/>
      <c r="K102" s="2"/>
      <c r="L102" s="5"/>
    </row>
    <row r="103" spans="2:12" ht="26.25" customHeight="1" x14ac:dyDescent="0.25">
      <c r="B103" s="3"/>
      <c r="C103" s="6"/>
      <c r="D103" s="6"/>
      <c r="E103" s="9"/>
      <c r="F103" s="3"/>
      <c r="G103" s="20"/>
      <c r="H103" s="20"/>
      <c r="I103" s="3"/>
      <c r="J103" s="4"/>
      <c r="K103" s="2"/>
      <c r="L103" s="3"/>
    </row>
    <row r="104" spans="2:12" ht="26.25" customHeight="1" x14ac:dyDescent="0.25">
      <c r="B104" s="3"/>
      <c r="C104" s="6"/>
      <c r="D104" s="6"/>
      <c r="E104" s="9"/>
      <c r="F104" s="3"/>
      <c r="G104" s="20"/>
      <c r="H104" s="20"/>
      <c r="I104" s="3"/>
      <c r="J104" s="4"/>
      <c r="K104" s="2"/>
      <c r="L104" s="3"/>
    </row>
    <row r="105" spans="2:12" ht="26.25" customHeight="1" x14ac:dyDescent="0.25">
      <c r="B105" s="3"/>
      <c r="C105" s="6"/>
      <c r="D105" s="6"/>
      <c r="E105" s="9"/>
      <c r="F105" s="3"/>
      <c r="G105" s="20"/>
      <c r="H105" s="20"/>
      <c r="I105" s="3"/>
      <c r="J105" s="4"/>
      <c r="K105" s="2"/>
      <c r="L105" s="3"/>
    </row>
    <row r="106" spans="2:12" ht="26.25" customHeight="1" x14ac:dyDescent="0.25">
      <c r="B106" s="5"/>
      <c r="C106" s="7"/>
      <c r="D106" s="7"/>
      <c r="E106" s="9"/>
      <c r="F106" s="3"/>
      <c r="G106" s="20"/>
      <c r="H106" s="20"/>
      <c r="I106" s="3"/>
      <c r="J106" s="4"/>
      <c r="K106" s="2"/>
      <c r="L106" s="5"/>
    </row>
    <row r="107" spans="2:12" ht="26.25" customHeight="1" x14ac:dyDescent="0.25">
      <c r="B107" s="3"/>
      <c r="C107" s="6"/>
      <c r="D107" s="6"/>
      <c r="E107" s="9"/>
      <c r="F107" s="3"/>
      <c r="G107" s="20"/>
      <c r="H107" s="20"/>
      <c r="I107" s="3"/>
      <c r="J107" s="4"/>
      <c r="K107" s="2"/>
      <c r="L107" s="3"/>
    </row>
    <row r="108" spans="2:12" ht="26.25" customHeight="1" x14ac:dyDescent="0.25">
      <c r="B108" s="3"/>
      <c r="C108" s="6"/>
      <c r="D108" s="6"/>
      <c r="E108" s="9"/>
      <c r="F108" s="3"/>
      <c r="G108" s="20"/>
      <c r="H108" s="20"/>
      <c r="I108" s="3"/>
      <c r="J108" s="4"/>
      <c r="K108" s="2"/>
      <c r="L108" s="3"/>
    </row>
    <row r="109" spans="2:12" ht="26.25" customHeight="1" x14ac:dyDescent="0.25">
      <c r="B109" s="3"/>
      <c r="C109" s="6"/>
      <c r="D109" s="6"/>
      <c r="E109" s="9"/>
      <c r="F109" s="3"/>
      <c r="G109" s="20"/>
      <c r="H109" s="20"/>
      <c r="I109" s="3"/>
      <c r="J109" s="4"/>
      <c r="K109" s="2"/>
      <c r="L109" s="3"/>
    </row>
    <row r="110" spans="2:12" ht="26.25" customHeight="1" x14ac:dyDescent="0.25">
      <c r="B110" s="5"/>
      <c r="C110" s="7"/>
      <c r="D110" s="7"/>
      <c r="E110" s="9"/>
      <c r="F110" s="3"/>
      <c r="G110" s="20"/>
      <c r="H110" s="20"/>
      <c r="I110" s="3"/>
      <c r="J110" s="4"/>
      <c r="K110" s="2"/>
      <c r="L110" s="5"/>
    </row>
    <row r="111" spans="2:12" ht="26.25" customHeight="1" x14ac:dyDescent="0.25">
      <c r="B111" s="3"/>
      <c r="C111" s="6"/>
      <c r="D111" s="6"/>
      <c r="E111" s="9"/>
      <c r="F111" s="3"/>
      <c r="G111" s="20"/>
      <c r="H111" s="20"/>
      <c r="I111" s="3"/>
      <c r="J111" s="4"/>
      <c r="K111" s="2"/>
      <c r="L111" s="3"/>
    </row>
    <row r="112" spans="2:12" ht="26.25" customHeight="1" x14ac:dyDescent="0.25">
      <c r="B112" s="3"/>
      <c r="C112" s="6"/>
      <c r="D112" s="6"/>
      <c r="E112" s="9"/>
      <c r="F112" s="3"/>
      <c r="G112" s="20"/>
      <c r="H112" s="20"/>
      <c r="I112" s="3"/>
      <c r="J112" s="4"/>
      <c r="K112" s="2"/>
      <c r="L112" s="3"/>
    </row>
    <row r="113" spans="2:12" ht="26.25" customHeight="1" x14ac:dyDescent="0.25">
      <c r="B113" s="3"/>
      <c r="C113" s="6"/>
      <c r="D113" s="6"/>
      <c r="E113" s="9"/>
      <c r="F113" s="3"/>
      <c r="G113" s="20"/>
      <c r="H113" s="20"/>
      <c r="I113" s="3"/>
      <c r="J113" s="4"/>
      <c r="K113" s="2"/>
      <c r="L113" s="3"/>
    </row>
    <row r="114" spans="2:12" ht="26.25" customHeight="1" x14ac:dyDescent="0.25">
      <c r="B114" s="5"/>
      <c r="C114" s="7"/>
      <c r="D114" s="7"/>
      <c r="E114" s="9"/>
      <c r="F114" s="3"/>
      <c r="G114" s="20"/>
      <c r="H114" s="20"/>
      <c r="I114" s="3"/>
      <c r="J114" s="4"/>
      <c r="K114" s="2"/>
      <c r="L114" s="5"/>
    </row>
    <row r="115" spans="2:12" ht="26.25" customHeight="1" x14ac:dyDescent="0.25">
      <c r="B115" s="3"/>
      <c r="C115" s="6"/>
      <c r="D115" s="6"/>
      <c r="E115" s="9"/>
      <c r="F115" s="3"/>
      <c r="G115" s="20"/>
      <c r="H115" s="20"/>
      <c r="I115" s="3"/>
      <c r="J115" s="4"/>
      <c r="K115" s="2"/>
      <c r="L115" s="3"/>
    </row>
    <row r="116" spans="2:12" ht="26.25" customHeight="1" x14ac:dyDescent="0.25">
      <c r="B116" s="3"/>
      <c r="C116" s="6"/>
      <c r="D116" s="6"/>
      <c r="E116" s="9"/>
      <c r="F116" s="3"/>
      <c r="G116" s="20"/>
      <c r="H116" s="20"/>
      <c r="I116" s="3"/>
      <c r="J116" s="4"/>
      <c r="K116" s="2"/>
      <c r="L116" s="3"/>
    </row>
    <row r="117" spans="2:12" ht="26.25" customHeight="1" x14ac:dyDescent="0.25">
      <c r="B117" s="3"/>
      <c r="C117" s="6"/>
      <c r="D117" s="6"/>
      <c r="E117" s="9"/>
      <c r="F117" s="3"/>
      <c r="G117" s="20"/>
      <c r="H117" s="20"/>
      <c r="I117" s="3"/>
      <c r="J117" s="4"/>
      <c r="K117" s="2"/>
      <c r="L117" s="3"/>
    </row>
    <row r="118" spans="2:12" ht="26.25" customHeight="1" x14ac:dyDescent="0.25">
      <c r="B118" s="5"/>
      <c r="C118" s="7"/>
      <c r="D118" s="7"/>
      <c r="E118" s="9"/>
      <c r="F118" s="3"/>
      <c r="G118" s="20"/>
      <c r="H118" s="20"/>
      <c r="I118" s="3"/>
      <c r="J118" s="4"/>
      <c r="K118" s="2"/>
      <c r="L118" s="5"/>
    </row>
    <row r="119" spans="2:12" ht="26.25" customHeight="1" x14ac:dyDescent="0.25">
      <c r="B119" s="3"/>
      <c r="C119" s="6"/>
      <c r="D119" s="6"/>
      <c r="E119" s="9"/>
      <c r="F119" s="3"/>
      <c r="G119" s="20"/>
      <c r="H119" s="20"/>
      <c r="I119" s="3"/>
      <c r="J119" s="4"/>
      <c r="K119" s="2"/>
      <c r="L119" s="3"/>
    </row>
    <row r="120" spans="2:12" ht="26.25" customHeight="1" x14ac:dyDescent="0.25">
      <c r="B120" s="3"/>
      <c r="C120" s="6"/>
      <c r="D120" s="6"/>
      <c r="E120" s="9"/>
      <c r="F120" s="3"/>
      <c r="G120" s="20"/>
      <c r="H120" s="20"/>
      <c r="I120" s="3"/>
      <c r="J120" s="4"/>
      <c r="K120" s="2"/>
      <c r="L120" s="3"/>
    </row>
    <row r="121" spans="2:12" ht="26.25" customHeight="1" x14ac:dyDescent="0.25">
      <c r="B121" s="3"/>
      <c r="C121" s="6"/>
      <c r="D121" s="6"/>
      <c r="E121" s="9"/>
      <c r="F121" s="3"/>
      <c r="G121" s="20"/>
      <c r="H121" s="20"/>
      <c r="I121" s="3"/>
      <c r="J121" s="4"/>
      <c r="K121" s="2"/>
      <c r="L121" s="3"/>
    </row>
  </sheetData>
  <phoneticPr fontId="2" type="noConversion"/>
  <conditionalFormatting sqref="J5:J93">
    <cfRule type="dataBar" priority="69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{188CB613-9332-4DC6-9DE8-E9F63BEC4859}</x14:id>
        </ext>
      </extLst>
    </cfRule>
  </conditionalFormatting>
  <dataValidations count="3">
    <dataValidation type="list" allowBlank="1" sqref="J5:J93">
      <formula1>"0%,25%,50%,75%,100%"</formula1>
    </dataValidation>
    <dataValidation type="list" errorStyle="warning" allowBlank="1" showInputMessage="1" showErrorMessage="1" errorTitle="Whoops" error="For this template to work correctly you need to select a choice from the drop down list. But you can still use what you entered by clicking Yes." sqref="F5:I93">
      <formula1>"Oui,Non"</formula1>
    </dataValidation>
    <dataValidation type="list" errorStyle="warning" allowBlank="1" showInputMessage="1" showErrorMessage="1" errorTitle="Whoops" error="For this template to work correctly you need to select a choice from the drop down list. But you can still use what you entered by clicking Yes." sqref="E5:E93">
      <formula1>"GPK1,GPK2, GPK3, GPK4,EPS1,Soultz-sous-Forêts"</formula1>
    </dataValidation>
  </dataValidations>
  <printOptions horizontalCentered="1"/>
  <pageMargins left="0.25" right="0.25" top="0.75" bottom="0.75" header="0.3" footer="0.3"/>
  <pageSetup scale="85" fitToHeight="0" orientation="landscape" r:id="rId1"/>
  <headerFooter differentFirst="1">
    <oddFooter>&amp;C&amp;10&amp;"Century Gothic,Regular"&amp;K010.04999Page &amp;K010.04999&amp;P&amp;"Century Gothic,Regular"&amp;K010.04999 sur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8CB613-9332-4DC6-9DE8-E9F63BEC4859}">
            <x14:dataBar minLength="0" maxLength="100" border="1">
              <x14:cfvo type="autoMin"/>
              <x14:cfvo type="autoMax"/>
              <x14:borderColor theme="3" tint="0.39997558519241921"/>
              <x14:negativeFillColor rgb="FFFF0000"/>
              <x14:axisColor rgb="FF000000"/>
            </x14:dataBar>
          </x14:cfRule>
          <xm:sqref>J5:J93</xm:sqref>
        </x14:conditionalFormatting>
        <x14:conditionalFormatting xmlns:xm="http://schemas.microsoft.com/office/excel/2006/main">
          <x14:cfRule type="iconSet" priority="70" id="{61976558-4184-4BD1-B78A-DCBE6FDA3BC9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NoIcons" iconId="0"/>
              <x14:cfIcon iconSet="3Flags" iconId="0"/>
            </x14:iconSet>
          </x14:cfRule>
          <xm:sqref>K5:K93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AL91"/>
  <sheetViews>
    <sheetView showGridLines="0" tabSelected="1" topLeftCell="R1" workbookViewId="0">
      <selection activeCell="W4" sqref="W4"/>
    </sheetView>
  </sheetViews>
  <sheetFormatPr baseColWidth="10" defaultRowHeight="13.5" x14ac:dyDescent="0.25"/>
  <cols>
    <col min="2" max="2" width="14.28515625" customWidth="1"/>
    <col min="3" max="3" width="30" customWidth="1"/>
    <col min="4" max="4" width="18.7109375" customWidth="1"/>
    <col min="5" max="5" width="20.28515625" customWidth="1"/>
    <col min="6" max="9" width="11.42578125" customWidth="1"/>
    <col min="10" max="10" width="6.85546875" customWidth="1"/>
    <col min="11" max="11" width="6.140625" customWidth="1"/>
    <col min="12" max="12" width="13.42578125" customWidth="1"/>
    <col min="13" max="13" width="11" customWidth="1"/>
    <col min="14" max="14" width="11.28515625" customWidth="1"/>
    <col min="15" max="15" width="11.140625" customWidth="1"/>
    <col min="16" max="16" width="8.28515625" customWidth="1"/>
    <col min="17" max="19" width="11.42578125" customWidth="1"/>
    <col min="20" max="20" width="11.5703125" customWidth="1"/>
    <col min="21" max="21" width="24.140625" customWidth="1"/>
    <col min="22" max="22" width="31.28515625" customWidth="1"/>
    <col min="23" max="23" width="10" customWidth="1"/>
    <col min="24" max="24" width="7.85546875" customWidth="1"/>
    <col min="25" max="25" width="7.5703125" customWidth="1"/>
    <col min="27" max="27" width="9.85546875" customWidth="1"/>
    <col min="28" max="28" width="10.5703125" customWidth="1"/>
    <col min="29" max="29" width="8.42578125" customWidth="1"/>
  </cols>
  <sheetData>
    <row r="3" spans="2:38" x14ac:dyDescent="0.25">
      <c r="B3" s="8" t="s">
        <v>44</v>
      </c>
      <c r="C3" s="8" t="s">
        <v>57</v>
      </c>
      <c r="D3" s="8" t="s">
        <v>15</v>
      </c>
      <c r="E3" s="8" t="s">
        <v>16</v>
      </c>
      <c r="F3" s="8" t="s">
        <v>47</v>
      </c>
      <c r="G3" s="8" t="s">
        <v>17</v>
      </c>
      <c r="H3" s="8" t="s">
        <v>18</v>
      </c>
      <c r="I3" s="8" t="s">
        <v>19</v>
      </c>
      <c r="J3" s="8" t="s">
        <v>20</v>
      </c>
      <c r="K3" s="8" t="s">
        <v>21</v>
      </c>
      <c r="L3" s="8" t="s">
        <v>2</v>
      </c>
      <c r="M3" s="8" t="s">
        <v>22</v>
      </c>
      <c r="N3" s="8" t="s">
        <v>23</v>
      </c>
      <c r="O3" s="8" t="s">
        <v>24</v>
      </c>
      <c r="P3" s="8" t="s">
        <v>25</v>
      </c>
      <c r="Q3" s="8" t="s">
        <v>26</v>
      </c>
      <c r="R3" s="8" t="s">
        <v>27</v>
      </c>
      <c r="S3" s="8" t="s">
        <v>28</v>
      </c>
      <c r="T3" s="8" t="s">
        <v>29</v>
      </c>
      <c r="U3" s="8" t="s">
        <v>30</v>
      </c>
      <c r="V3" s="8" t="s">
        <v>31</v>
      </c>
      <c r="W3" s="8" t="s">
        <v>32</v>
      </c>
      <c r="X3" s="8" t="s">
        <v>33</v>
      </c>
      <c r="Y3" s="8" t="s">
        <v>34</v>
      </c>
      <c r="Z3" s="8" t="s">
        <v>58</v>
      </c>
      <c r="AA3" s="8" t="s">
        <v>59</v>
      </c>
      <c r="AB3" s="8" t="s">
        <v>60</v>
      </c>
      <c r="AC3" s="8" t="s">
        <v>61</v>
      </c>
      <c r="AD3" s="8" t="s">
        <v>35</v>
      </c>
      <c r="AE3" s="8" t="s">
        <v>36</v>
      </c>
      <c r="AF3" s="8" t="s">
        <v>4</v>
      </c>
      <c r="AG3" s="8" t="s">
        <v>37</v>
      </c>
      <c r="AH3" s="8" t="s">
        <v>14</v>
      </c>
      <c r="AI3" s="8" t="s">
        <v>5</v>
      </c>
      <c r="AJ3" s="8" t="s">
        <v>6</v>
      </c>
      <c r="AK3" s="17" t="s">
        <v>0</v>
      </c>
      <c r="AL3" s="16" t="s">
        <v>46</v>
      </c>
    </row>
    <row r="4" spans="2:38" x14ac:dyDescent="0.25">
      <c r="B4" s="39" t="s">
        <v>42</v>
      </c>
      <c r="C4" s="39" t="s">
        <v>65</v>
      </c>
      <c r="D4" s="39" t="s">
        <v>65</v>
      </c>
      <c r="E4" s="39" t="s">
        <v>66</v>
      </c>
      <c r="F4" s="39" t="s">
        <v>48</v>
      </c>
      <c r="G4" s="39" t="s">
        <v>68</v>
      </c>
      <c r="H4" s="39" t="s">
        <v>38</v>
      </c>
      <c r="I4" s="40" t="s">
        <v>8</v>
      </c>
      <c r="J4" s="39"/>
      <c r="K4" s="39"/>
      <c r="L4" s="44">
        <v>42694</v>
      </c>
      <c r="M4" s="39"/>
      <c r="N4" s="39"/>
      <c r="O4" s="41">
        <f ca="1">TODAY()</f>
        <v>42723</v>
      </c>
      <c r="P4" s="39" t="s">
        <v>41</v>
      </c>
      <c r="Q4" s="39"/>
      <c r="R4" s="39"/>
      <c r="S4" s="39" t="s">
        <v>64</v>
      </c>
      <c r="T4" s="39" t="s">
        <v>45</v>
      </c>
      <c r="U4" s="39" t="s">
        <v>63</v>
      </c>
      <c r="V4" s="39" t="s">
        <v>39</v>
      </c>
      <c r="W4" s="39"/>
      <c r="X4" s="39"/>
      <c r="Y4" s="39"/>
      <c r="Z4" s="39" t="s">
        <v>62</v>
      </c>
      <c r="AA4" s="39"/>
      <c r="AB4" s="39" t="s">
        <v>62</v>
      </c>
      <c r="AC4" s="39" t="s">
        <v>62</v>
      </c>
      <c r="AD4" s="39"/>
      <c r="AE4" s="39" t="s">
        <v>67</v>
      </c>
      <c r="AF4" s="39" t="s">
        <v>10</v>
      </c>
      <c r="AG4" s="39"/>
      <c r="AH4" s="39" t="s">
        <v>10</v>
      </c>
      <c r="AI4" s="39" t="s">
        <v>10</v>
      </c>
      <c r="AJ4" s="39" t="s">
        <v>10</v>
      </c>
      <c r="AK4" s="42">
        <f>IF(Tableau2[[#This Row],[Métadonnée complète]]="Non",10%,IF(Tableau2[[#This Row],[Donnée existante]]="Non",30%,IF(Tableau2[[#This Row],[Métadonnée XML]]="Non",50%,IF(Tableau2[[#This Row],[Metadonnée validée]]="Non",70%,100%))))</f>
        <v>0.1</v>
      </c>
      <c r="AL4" s="43">
        <f>IF(Tableau2[[#This Row],[% achevé]]=1,1,3)</f>
        <v>3</v>
      </c>
    </row>
    <row r="5" spans="2:38" x14ac:dyDescent="0.25">
      <c r="B5" s="39"/>
      <c r="C5" s="39"/>
      <c r="D5" s="39"/>
      <c r="E5" s="39"/>
      <c r="F5" s="39"/>
      <c r="G5" s="39"/>
      <c r="H5" s="39"/>
      <c r="I5" s="39"/>
      <c r="J5" s="39"/>
      <c r="K5" s="39"/>
      <c r="L5" s="44"/>
      <c r="M5" s="39"/>
      <c r="N5" s="39"/>
      <c r="O5" s="41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42"/>
      <c r="AL5" s="43"/>
    </row>
    <row r="6" spans="2:38" x14ac:dyDescent="0.25">
      <c r="B6" s="39"/>
      <c r="C6" s="39"/>
      <c r="D6" s="39"/>
      <c r="E6" s="39"/>
      <c r="F6" s="39"/>
      <c r="G6" s="39"/>
      <c r="H6" s="39"/>
      <c r="I6" s="39"/>
      <c r="J6" s="39"/>
      <c r="K6" s="39"/>
      <c r="L6" s="44"/>
      <c r="M6" s="39"/>
      <c r="N6" s="39"/>
      <c r="O6" s="41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42"/>
      <c r="AL6" s="43"/>
    </row>
    <row r="7" spans="2:38" x14ac:dyDescent="0.25">
      <c r="B7" s="39"/>
      <c r="C7" s="39"/>
      <c r="D7" s="39"/>
      <c r="E7" s="39"/>
      <c r="F7" s="39"/>
      <c r="G7" s="39"/>
      <c r="H7" s="39"/>
      <c r="I7" s="39"/>
      <c r="J7" s="39"/>
      <c r="K7" s="39"/>
      <c r="L7" s="44"/>
      <c r="M7" s="39"/>
      <c r="N7" s="39"/>
      <c r="O7" s="41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42"/>
      <c r="AL7" s="43"/>
    </row>
    <row r="8" spans="2:38" x14ac:dyDescent="0.25">
      <c r="B8" s="39"/>
      <c r="C8" s="39"/>
      <c r="D8" s="39"/>
      <c r="E8" s="39"/>
      <c r="F8" s="39"/>
      <c r="G8" s="39"/>
      <c r="H8" s="39"/>
      <c r="I8" s="39"/>
      <c r="J8" s="39"/>
      <c r="K8" s="39"/>
      <c r="L8" s="44"/>
      <c r="M8" s="39"/>
      <c r="N8" s="39"/>
      <c r="O8" s="41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42"/>
      <c r="AL8" s="43"/>
    </row>
    <row r="9" spans="2:38" x14ac:dyDescent="0.25">
      <c r="B9" s="39"/>
      <c r="C9" s="39"/>
      <c r="D9" s="39"/>
      <c r="E9" s="39"/>
      <c r="F9" s="39"/>
      <c r="G9" s="39"/>
      <c r="H9" s="39"/>
      <c r="I9" s="39"/>
      <c r="J9" s="39"/>
      <c r="K9" s="39"/>
      <c r="L9" s="44"/>
      <c r="M9" s="39"/>
      <c r="N9" s="39"/>
      <c r="O9" s="41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42"/>
      <c r="AL9" s="43"/>
    </row>
    <row r="10" spans="2:38" x14ac:dyDescent="0.25"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44"/>
      <c r="M10" s="39"/>
      <c r="N10" s="39"/>
      <c r="O10" s="41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42"/>
      <c r="AL10" s="43"/>
    </row>
    <row r="11" spans="2:38" x14ac:dyDescent="0.25"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44"/>
      <c r="M11" s="39"/>
      <c r="N11" s="39"/>
      <c r="O11" s="41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42"/>
      <c r="AL11" s="43"/>
    </row>
    <row r="12" spans="2:38" x14ac:dyDescent="0.25"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44"/>
      <c r="M12" s="39"/>
      <c r="N12" s="39"/>
      <c r="O12" s="41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42"/>
      <c r="AL12" s="43"/>
    </row>
    <row r="13" spans="2:38" x14ac:dyDescent="0.25"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44"/>
      <c r="M13" s="39"/>
      <c r="N13" s="39"/>
      <c r="O13" s="41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42"/>
      <c r="AL13" s="43"/>
    </row>
    <row r="14" spans="2:38" x14ac:dyDescent="0.25"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44"/>
      <c r="M14" s="39"/>
      <c r="N14" s="39"/>
      <c r="O14" s="41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42"/>
      <c r="AL14" s="43"/>
    </row>
    <row r="15" spans="2:38" x14ac:dyDescent="0.25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44"/>
      <c r="M15" s="41"/>
      <c r="N15" s="41"/>
      <c r="O15" s="41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42"/>
      <c r="AL15" s="43"/>
    </row>
    <row r="16" spans="2:38" x14ac:dyDescent="0.25"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44"/>
      <c r="M16" s="39"/>
      <c r="N16" s="39"/>
      <c r="O16" s="41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42"/>
      <c r="AL16" s="43"/>
    </row>
    <row r="17" spans="2:38" x14ac:dyDescent="0.25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4"/>
      <c r="M17" s="39"/>
      <c r="N17" s="39"/>
      <c r="O17" s="41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42"/>
      <c r="AL17" s="43"/>
    </row>
    <row r="18" spans="2:38" x14ac:dyDescent="0.25"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44"/>
      <c r="M18" s="39"/>
      <c r="N18" s="39"/>
      <c r="O18" s="41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42"/>
      <c r="AL18" s="43"/>
    </row>
    <row r="19" spans="2:38" x14ac:dyDescent="0.25"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39"/>
      <c r="N19" s="39"/>
      <c r="O19" s="41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42"/>
      <c r="AL19" s="43"/>
    </row>
    <row r="20" spans="2:38" x14ac:dyDescent="0.25"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44"/>
      <c r="M20" s="39"/>
      <c r="N20" s="39"/>
      <c r="O20" s="41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42"/>
      <c r="AL20" s="43"/>
    </row>
    <row r="21" spans="2:38" x14ac:dyDescent="0.25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44"/>
      <c r="M21" s="39"/>
      <c r="N21" s="39"/>
      <c r="O21" s="41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42"/>
      <c r="AL21" s="43"/>
    </row>
    <row r="22" spans="2:38" x14ac:dyDescent="0.25"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44"/>
      <c r="M22" s="39"/>
      <c r="N22" s="39"/>
      <c r="O22" s="41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42"/>
      <c r="AL22" s="43"/>
    </row>
    <row r="23" spans="2:38" x14ac:dyDescent="0.25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44"/>
      <c r="M23" s="39"/>
      <c r="N23" s="39"/>
      <c r="O23" s="41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42"/>
      <c r="AL23" s="43"/>
    </row>
    <row r="24" spans="2:38" x14ac:dyDescent="0.25"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44"/>
      <c r="M24" s="39"/>
      <c r="N24" s="39"/>
      <c r="O24" s="41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42"/>
      <c r="AL24" s="43"/>
    </row>
    <row r="25" spans="2:38" x14ac:dyDescent="0.25"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44"/>
      <c r="M25" s="39"/>
      <c r="N25" s="39"/>
      <c r="O25" s="41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42"/>
      <c r="AL25" s="43"/>
    </row>
    <row r="26" spans="2:38" x14ac:dyDescent="0.25"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44"/>
      <c r="M26" s="39"/>
      <c r="N26" s="39"/>
      <c r="O26" s="41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42"/>
      <c r="AL26" s="43"/>
    </row>
    <row r="27" spans="2:38" x14ac:dyDescent="0.25"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44"/>
      <c r="M27" s="41"/>
      <c r="N27" s="41"/>
      <c r="O27" s="41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42"/>
      <c r="AL27" s="43"/>
    </row>
    <row r="28" spans="2:38" x14ac:dyDescent="0.25"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44"/>
      <c r="M28" s="39"/>
      <c r="N28" s="39"/>
      <c r="O28" s="41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42"/>
      <c r="AL28" s="43"/>
    </row>
    <row r="29" spans="2:38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44"/>
      <c r="M29" s="39"/>
      <c r="N29" s="39"/>
      <c r="O29" s="41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42"/>
      <c r="AL29" s="43"/>
    </row>
    <row r="30" spans="2:38" x14ac:dyDescent="0.25"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44"/>
      <c r="M30" s="39"/>
      <c r="N30" s="39"/>
      <c r="O30" s="41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42"/>
      <c r="AL30" s="43"/>
    </row>
    <row r="31" spans="2:38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44"/>
      <c r="M31" s="39"/>
      <c r="N31" s="39"/>
      <c r="O31" s="41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42"/>
      <c r="AL31" s="43"/>
    </row>
    <row r="32" spans="2:38" x14ac:dyDescent="0.25"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44"/>
      <c r="M32" s="39"/>
      <c r="N32" s="39"/>
      <c r="O32" s="41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42"/>
      <c r="AL32" s="43"/>
    </row>
    <row r="33" spans="2:38" x14ac:dyDescent="0.25"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44"/>
      <c r="M33" s="39"/>
      <c r="N33" s="39"/>
      <c r="O33" s="41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42"/>
      <c r="AL33" s="43"/>
    </row>
    <row r="34" spans="2:38" x14ac:dyDescent="0.25"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44"/>
      <c r="M34" s="39"/>
      <c r="N34" s="39"/>
      <c r="O34" s="41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42"/>
      <c r="AL34" s="43"/>
    </row>
    <row r="35" spans="2:38" x14ac:dyDescent="0.25"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44"/>
      <c r="M35" s="39"/>
      <c r="N35" s="39"/>
      <c r="O35" s="41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42"/>
      <c r="AL35" s="43"/>
    </row>
    <row r="36" spans="2:38" x14ac:dyDescent="0.25">
      <c r="B36" s="39"/>
      <c r="C36" s="39"/>
      <c r="D36" s="39"/>
      <c r="E36" s="39"/>
      <c r="F36" s="39"/>
      <c r="G36" s="39"/>
      <c r="H36" s="39"/>
      <c r="I36" s="40"/>
      <c r="J36" s="39"/>
      <c r="K36" s="39"/>
      <c r="L36" s="44"/>
      <c r="M36" s="39"/>
      <c r="N36" s="39"/>
      <c r="O36" s="41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42"/>
      <c r="AL36" s="43"/>
    </row>
    <row r="37" spans="2:38" x14ac:dyDescent="0.25">
      <c r="B37" s="39"/>
      <c r="C37" s="39"/>
      <c r="D37" s="39"/>
      <c r="E37" s="39"/>
      <c r="F37" s="39"/>
      <c r="G37" s="39"/>
      <c r="H37" s="39"/>
      <c r="I37" s="40"/>
      <c r="J37" s="39"/>
      <c r="K37" s="39"/>
      <c r="L37" s="44"/>
      <c r="M37" s="39"/>
      <c r="N37" s="39"/>
      <c r="O37" s="41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42"/>
      <c r="AL37" s="43"/>
    </row>
    <row r="38" spans="2:38" x14ac:dyDescent="0.25">
      <c r="B38" s="39"/>
      <c r="C38" s="39"/>
      <c r="D38" s="39"/>
      <c r="E38" s="39"/>
      <c r="F38" s="39"/>
      <c r="G38" s="39"/>
      <c r="H38" s="39"/>
      <c r="I38" s="40"/>
      <c r="J38" s="39"/>
      <c r="K38" s="39"/>
      <c r="L38" s="44"/>
      <c r="M38" s="41"/>
      <c r="N38" s="41"/>
      <c r="O38" s="41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42"/>
      <c r="AL38" s="43"/>
    </row>
    <row r="39" spans="2:38" x14ac:dyDescent="0.25">
      <c r="B39" s="39"/>
      <c r="C39" s="39"/>
      <c r="D39" s="39"/>
      <c r="E39" s="39"/>
      <c r="F39" s="39"/>
      <c r="G39" s="39"/>
      <c r="H39" s="39"/>
      <c r="I39" s="40"/>
      <c r="J39" s="39"/>
      <c r="K39" s="39"/>
      <c r="L39" s="44"/>
      <c r="M39" s="41"/>
      <c r="N39" s="41"/>
      <c r="O39" s="41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42"/>
      <c r="AL39" s="43"/>
    </row>
    <row r="40" spans="2:38" x14ac:dyDescent="0.25"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44"/>
      <c r="M40" s="39"/>
      <c r="N40" s="39"/>
      <c r="O40" s="41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42"/>
      <c r="AL40" s="43"/>
    </row>
    <row r="41" spans="2:38" x14ac:dyDescent="0.25"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44"/>
      <c r="M41" s="39"/>
      <c r="N41" s="39"/>
      <c r="O41" s="41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42"/>
      <c r="AL41" s="43"/>
    </row>
    <row r="42" spans="2:38" x14ac:dyDescent="0.25">
      <c r="B42" s="39"/>
      <c r="C42" s="39"/>
      <c r="D42" s="39"/>
      <c r="E42" s="39"/>
      <c r="F42" s="39"/>
      <c r="G42" s="39"/>
      <c r="H42" s="39"/>
      <c r="I42" s="40"/>
      <c r="J42" s="39"/>
      <c r="K42" s="39"/>
      <c r="L42" s="44"/>
      <c r="M42" s="39"/>
      <c r="N42" s="39"/>
      <c r="O42" s="41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42"/>
      <c r="AL42" s="43"/>
    </row>
    <row r="43" spans="2:38" x14ac:dyDescent="0.25"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44"/>
      <c r="M43" s="39"/>
      <c r="N43" s="39"/>
      <c r="O43" s="41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42"/>
      <c r="AL43" s="43"/>
    </row>
    <row r="44" spans="2:38" x14ac:dyDescent="0.25"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44"/>
      <c r="M44" s="39"/>
      <c r="N44" s="39"/>
      <c r="O44" s="41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42"/>
      <c r="AL44" s="43"/>
    </row>
    <row r="45" spans="2:38" x14ac:dyDescent="0.25"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44"/>
      <c r="M45" s="39"/>
      <c r="N45" s="39"/>
      <c r="O45" s="41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42"/>
      <c r="AL45" s="43"/>
    </row>
    <row r="46" spans="2:38" x14ac:dyDescent="0.25"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44"/>
      <c r="M46" s="39"/>
      <c r="N46" s="39"/>
      <c r="O46" s="41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42"/>
      <c r="AL46" s="43"/>
    </row>
    <row r="47" spans="2:38" x14ac:dyDescent="0.25"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44"/>
      <c r="M47" s="39"/>
      <c r="N47" s="39"/>
      <c r="O47" s="41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42"/>
      <c r="AL47" s="43"/>
    </row>
    <row r="48" spans="2:38" x14ac:dyDescent="0.25"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44"/>
      <c r="M48" s="39"/>
      <c r="N48" s="39"/>
      <c r="O48" s="41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42"/>
      <c r="AL48" s="43"/>
    </row>
    <row r="49" spans="2:38" x14ac:dyDescent="0.25"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44"/>
      <c r="M49" s="39"/>
      <c r="N49" s="39"/>
      <c r="O49" s="41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42"/>
      <c r="AL49" s="43"/>
    </row>
    <row r="50" spans="2:38" x14ac:dyDescent="0.25"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44"/>
      <c r="M50" s="39"/>
      <c r="N50" s="39"/>
      <c r="O50" s="41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42"/>
      <c r="AL50" s="43"/>
    </row>
    <row r="51" spans="2:38" x14ac:dyDescent="0.25"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44"/>
      <c r="M51" s="39"/>
      <c r="N51" s="39"/>
      <c r="O51" s="41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42"/>
      <c r="AL51" s="43"/>
    </row>
    <row r="52" spans="2:38" x14ac:dyDescent="0.25"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44"/>
      <c r="M52" s="39"/>
      <c r="N52" s="39"/>
      <c r="O52" s="41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42"/>
      <c r="AL52" s="43"/>
    </row>
    <row r="53" spans="2:38" x14ac:dyDescent="0.25"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44"/>
      <c r="M53" s="39"/>
      <c r="N53" s="39"/>
      <c r="O53" s="41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42"/>
      <c r="AL53" s="43"/>
    </row>
    <row r="54" spans="2:38" x14ac:dyDescent="0.25"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44"/>
      <c r="M54" s="39"/>
      <c r="N54" s="39"/>
      <c r="O54" s="41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42"/>
      <c r="AL54" s="43"/>
    </row>
    <row r="55" spans="2:38" x14ac:dyDescent="0.25"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44"/>
      <c r="M55" s="39"/>
      <c r="N55" s="39"/>
      <c r="O55" s="41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42"/>
      <c r="AL55" s="43"/>
    </row>
    <row r="56" spans="2:38" x14ac:dyDescent="0.25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44"/>
      <c r="M56" s="39"/>
      <c r="N56" s="39"/>
      <c r="O56" s="41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42"/>
      <c r="AL56" s="43"/>
    </row>
    <row r="57" spans="2:38" x14ac:dyDescent="0.25"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44"/>
      <c r="M57" s="39"/>
      <c r="N57" s="39"/>
      <c r="O57" s="41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42"/>
      <c r="AL57" s="43"/>
    </row>
    <row r="58" spans="2:38" x14ac:dyDescent="0.25"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44"/>
      <c r="M58" s="39"/>
      <c r="N58" s="39"/>
      <c r="O58" s="41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42"/>
      <c r="AL58" s="43"/>
    </row>
    <row r="59" spans="2:38" x14ac:dyDescent="0.25"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44"/>
      <c r="M59" s="39"/>
      <c r="N59" s="39"/>
      <c r="O59" s="41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42"/>
      <c r="AL59" s="43"/>
    </row>
    <row r="60" spans="2:38" x14ac:dyDescent="0.25"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44"/>
      <c r="M60" s="39"/>
      <c r="N60" s="39"/>
      <c r="O60" s="41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42"/>
      <c r="AL60" s="43"/>
    </row>
    <row r="61" spans="2:38" x14ac:dyDescent="0.25"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44"/>
      <c r="M61" s="39"/>
      <c r="N61" s="39"/>
      <c r="O61" s="41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42"/>
      <c r="AL61" s="43"/>
    </row>
    <row r="62" spans="2:38" x14ac:dyDescent="0.25"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44"/>
      <c r="M62" s="39"/>
      <c r="N62" s="39"/>
      <c r="O62" s="41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42"/>
      <c r="AL62" s="43"/>
    </row>
    <row r="63" spans="2:38" x14ac:dyDescent="0.25"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44"/>
      <c r="M63" s="39"/>
      <c r="N63" s="39"/>
      <c r="O63" s="41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42"/>
      <c r="AL63" s="43"/>
    </row>
    <row r="64" spans="2:38" x14ac:dyDescent="0.25"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44"/>
      <c r="M64" s="39"/>
      <c r="N64" s="39"/>
      <c r="O64" s="41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42"/>
      <c r="AL64" s="43"/>
    </row>
    <row r="65" spans="2:38" x14ac:dyDescent="0.25"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44"/>
      <c r="M65" s="39"/>
      <c r="N65" s="39"/>
      <c r="O65" s="41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42"/>
      <c r="AL65" s="43"/>
    </row>
    <row r="66" spans="2:38" x14ac:dyDescent="0.25"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44"/>
      <c r="M66" s="39"/>
      <c r="N66" s="39"/>
      <c r="O66" s="41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42"/>
      <c r="AL66" s="43"/>
    </row>
    <row r="67" spans="2:38" x14ac:dyDescent="0.25"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45"/>
      <c r="M67" s="39"/>
      <c r="N67" s="39"/>
      <c r="O67" s="41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42"/>
      <c r="AL67" s="43"/>
    </row>
    <row r="68" spans="2:38" x14ac:dyDescent="0.25"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44"/>
      <c r="M68" s="39"/>
      <c r="N68" s="39"/>
      <c r="O68" s="41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42"/>
      <c r="AL68" s="43"/>
    </row>
    <row r="69" spans="2:38" x14ac:dyDescent="0.25"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44"/>
      <c r="M69" s="39"/>
      <c r="N69" s="39"/>
      <c r="O69" s="41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42"/>
      <c r="AL69" s="43"/>
    </row>
    <row r="70" spans="2:38" x14ac:dyDescent="0.25"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44"/>
      <c r="M70" s="39"/>
      <c r="N70" s="39"/>
      <c r="O70" s="41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42"/>
      <c r="AL70" s="43"/>
    </row>
    <row r="71" spans="2:38" x14ac:dyDescent="0.25"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44"/>
      <c r="M71" s="39"/>
      <c r="N71" s="39"/>
      <c r="O71" s="41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42"/>
      <c r="AL71" s="43"/>
    </row>
    <row r="72" spans="2:38" x14ac:dyDescent="0.25"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44"/>
      <c r="M72" s="39"/>
      <c r="N72" s="39"/>
      <c r="O72" s="41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42"/>
      <c r="AL72" s="43"/>
    </row>
    <row r="73" spans="2:38" x14ac:dyDescent="0.25"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44"/>
      <c r="M73" s="39"/>
      <c r="N73" s="39"/>
      <c r="O73" s="41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42"/>
      <c r="AL73" s="43"/>
    </row>
    <row r="74" spans="2:38" x14ac:dyDescent="0.25"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44"/>
      <c r="M74" s="39"/>
      <c r="N74" s="39"/>
      <c r="O74" s="41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42"/>
      <c r="AL74" s="43"/>
    </row>
    <row r="75" spans="2:38" x14ac:dyDescent="0.25"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44"/>
      <c r="M75" s="39"/>
      <c r="N75" s="39"/>
      <c r="O75" s="41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42"/>
      <c r="AL75" s="43"/>
    </row>
    <row r="76" spans="2:38" x14ac:dyDescent="0.25"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44"/>
      <c r="M76" s="39"/>
      <c r="N76" s="39"/>
      <c r="O76" s="41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42"/>
      <c r="AL76" s="43"/>
    </row>
    <row r="77" spans="2:38" x14ac:dyDescent="0.25"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44"/>
      <c r="M77" s="39"/>
      <c r="N77" s="39"/>
      <c r="O77" s="41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42"/>
      <c r="AL77" s="43"/>
    </row>
    <row r="78" spans="2:38" x14ac:dyDescent="0.25"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44"/>
      <c r="M78" s="39"/>
      <c r="N78" s="39"/>
      <c r="O78" s="41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42"/>
      <c r="AL78" s="43"/>
    </row>
    <row r="79" spans="2:38" x14ac:dyDescent="0.25"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45"/>
      <c r="M79" s="39"/>
      <c r="N79" s="39"/>
      <c r="O79" s="41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42"/>
      <c r="AL79" s="43"/>
    </row>
    <row r="80" spans="2:38" x14ac:dyDescent="0.25"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45"/>
      <c r="M80" s="39"/>
      <c r="N80" s="39"/>
      <c r="O80" s="41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42"/>
      <c r="AL80" s="43"/>
    </row>
    <row r="81" spans="2:38" x14ac:dyDescent="0.25"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44"/>
      <c r="M81" s="39"/>
      <c r="N81" s="39"/>
      <c r="O81" s="41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42"/>
      <c r="AL81" s="43"/>
    </row>
    <row r="82" spans="2:38" x14ac:dyDescent="0.25"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44"/>
      <c r="M82" s="39"/>
      <c r="N82" s="39"/>
      <c r="O82" s="41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42"/>
      <c r="AL82" s="43"/>
    </row>
    <row r="83" spans="2:38" ht="13.5" customHeight="1" x14ac:dyDescent="0.25">
      <c r="B83" s="39"/>
      <c r="C83" s="39"/>
      <c r="D83" s="39"/>
      <c r="E83" s="39"/>
      <c r="F83" s="39"/>
      <c r="G83" s="39"/>
      <c r="H83" s="39"/>
      <c r="I83" s="47"/>
      <c r="J83" s="46"/>
      <c r="K83" s="46"/>
      <c r="L83" s="51"/>
      <c r="M83" s="46"/>
      <c r="N83" s="44"/>
      <c r="O83" s="48"/>
      <c r="P83" s="46"/>
      <c r="Q83" s="46"/>
      <c r="R83" s="39"/>
      <c r="S83" s="46"/>
      <c r="T83" s="46"/>
      <c r="U83" s="47"/>
      <c r="V83" s="46"/>
      <c r="W83" s="46"/>
      <c r="X83" s="46"/>
      <c r="Y83" s="46"/>
      <c r="Z83" s="39"/>
      <c r="AA83" s="39"/>
      <c r="AB83" s="39"/>
      <c r="AC83" s="39"/>
      <c r="AD83" s="46"/>
      <c r="AE83" s="46"/>
      <c r="AF83" s="46"/>
      <c r="AG83" s="46"/>
      <c r="AH83" s="39"/>
      <c r="AI83" s="39"/>
      <c r="AJ83" s="39"/>
      <c r="AK83" s="42"/>
      <c r="AL83" s="43"/>
    </row>
    <row r="84" spans="2:38" x14ac:dyDescent="0.25">
      <c r="B84" s="39"/>
      <c r="C84" s="39"/>
      <c r="D84" s="39"/>
      <c r="E84" s="39"/>
      <c r="F84" s="39"/>
      <c r="G84" s="39"/>
      <c r="H84" s="39"/>
      <c r="I84" s="47"/>
      <c r="J84" s="46"/>
      <c r="K84" s="46"/>
      <c r="L84" s="51"/>
      <c r="M84" s="46"/>
      <c r="N84" s="44"/>
      <c r="O84" s="48"/>
      <c r="P84" s="46"/>
      <c r="Q84" s="46"/>
      <c r="R84" s="39"/>
      <c r="S84" s="46"/>
      <c r="T84" s="46"/>
      <c r="U84" s="47"/>
      <c r="V84" s="46"/>
      <c r="W84" s="39"/>
      <c r="X84" s="46"/>
      <c r="Y84" s="46"/>
      <c r="Z84" s="39"/>
      <c r="AA84" s="39"/>
      <c r="AB84" s="39"/>
      <c r="AC84" s="39"/>
      <c r="AD84" s="46"/>
      <c r="AE84" s="46"/>
      <c r="AF84" s="46"/>
      <c r="AG84" s="46"/>
      <c r="AH84" s="39"/>
      <c r="AI84" s="39"/>
      <c r="AJ84" s="39"/>
      <c r="AK84" s="42"/>
      <c r="AL84" s="43"/>
    </row>
    <row r="85" spans="2:38" x14ac:dyDescent="0.25">
      <c r="B85" s="39"/>
      <c r="C85" s="39"/>
      <c r="D85" s="39"/>
      <c r="E85" s="39"/>
      <c r="F85" s="39"/>
      <c r="G85" s="39"/>
      <c r="H85" s="39"/>
      <c r="I85" s="47"/>
      <c r="J85" s="46"/>
      <c r="K85" s="46"/>
      <c r="L85" s="51"/>
      <c r="M85" s="46"/>
      <c r="N85" s="44"/>
      <c r="O85" s="48"/>
      <c r="P85" s="46"/>
      <c r="Q85" s="46"/>
      <c r="R85" s="39"/>
      <c r="S85" s="46"/>
      <c r="T85" s="46"/>
      <c r="U85" s="47"/>
      <c r="V85" s="46"/>
      <c r="W85" s="39"/>
      <c r="X85" s="46"/>
      <c r="Y85" s="46"/>
      <c r="Z85" s="39"/>
      <c r="AA85" s="39"/>
      <c r="AB85" s="39"/>
      <c r="AC85" s="39"/>
      <c r="AD85" s="46"/>
      <c r="AE85" s="46"/>
      <c r="AF85" s="46"/>
      <c r="AG85" s="46"/>
      <c r="AH85" s="39"/>
      <c r="AI85" s="39"/>
      <c r="AJ85" s="39"/>
      <c r="AK85" s="42"/>
      <c r="AL85" s="43"/>
    </row>
    <row r="86" spans="2:38" x14ac:dyDescent="0.25">
      <c r="B86" s="39"/>
      <c r="C86" s="39"/>
      <c r="D86" s="39"/>
      <c r="E86" s="39"/>
      <c r="F86" s="39"/>
      <c r="G86" s="39"/>
      <c r="H86" s="39"/>
      <c r="I86" s="47"/>
      <c r="J86" s="46"/>
      <c r="K86" s="46"/>
      <c r="L86" s="51"/>
      <c r="M86" s="46"/>
      <c r="N86" s="44"/>
      <c r="O86" s="48"/>
      <c r="P86" s="46"/>
      <c r="Q86" s="46"/>
      <c r="R86" s="39"/>
      <c r="S86" s="46"/>
      <c r="T86" s="46"/>
      <c r="U86" s="47"/>
      <c r="V86" s="46"/>
      <c r="W86" s="39"/>
      <c r="X86" s="46"/>
      <c r="Y86" s="46"/>
      <c r="Z86" s="39"/>
      <c r="AA86" s="39"/>
      <c r="AB86" s="39"/>
      <c r="AC86" s="39"/>
      <c r="AD86" s="46"/>
      <c r="AE86" s="46"/>
      <c r="AF86" s="46"/>
      <c r="AG86" s="46"/>
      <c r="AH86" s="39"/>
      <c r="AI86" s="39"/>
      <c r="AJ86" s="39"/>
      <c r="AK86" s="42"/>
      <c r="AL86" s="43"/>
    </row>
    <row r="87" spans="2:38" x14ac:dyDescent="0.25">
      <c r="B87" s="39"/>
      <c r="C87" s="39"/>
      <c r="D87" s="39"/>
      <c r="E87" s="39"/>
      <c r="F87" s="39"/>
      <c r="G87" s="39"/>
      <c r="H87" s="39"/>
      <c r="I87" s="47"/>
      <c r="J87" s="46"/>
      <c r="K87" s="46"/>
      <c r="L87" s="51"/>
      <c r="M87" s="46"/>
      <c r="N87" s="44"/>
      <c r="O87" s="48"/>
      <c r="P87" s="46"/>
      <c r="Q87" s="46"/>
      <c r="R87" s="39"/>
      <c r="S87" s="46"/>
      <c r="T87" s="46"/>
      <c r="U87" s="47"/>
      <c r="V87" s="46"/>
      <c r="W87" s="39"/>
      <c r="X87" s="46"/>
      <c r="Y87" s="46"/>
      <c r="Z87" s="39"/>
      <c r="AA87" s="39"/>
      <c r="AB87" s="39"/>
      <c r="AC87" s="39"/>
      <c r="AD87" s="46"/>
      <c r="AE87" s="46"/>
      <c r="AF87" s="46"/>
      <c r="AG87" s="46"/>
      <c r="AH87" s="39"/>
      <c r="AI87" s="39"/>
      <c r="AJ87" s="39"/>
      <c r="AK87" s="42"/>
      <c r="AL87" s="43"/>
    </row>
    <row r="88" spans="2:38" x14ac:dyDescent="0.25">
      <c r="B88" s="39"/>
      <c r="C88" s="39"/>
      <c r="D88" s="39"/>
      <c r="E88" s="39"/>
      <c r="F88" s="39"/>
      <c r="G88" s="39"/>
      <c r="H88" s="39"/>
      <c r="I88" s="47"/>
      <c r="J88" s="46"/>
      <c r="K88" s="46"/>
      <c r="L88" s="51"/>
      <c r="M88" s="46"/>
      <c r="N88" s="44"/>
      <c r="O88" s="48"/>
      <c r="P88" s="46"/>
      <c r="Q88" s="46"/>
      <c r="R88" s="39"/>
      <c r="S88" s="46"/>
      <c r="T88" s="46"/>
      <c r="U88" s="47"/>
      <c r="V88" s="46"/>
      <c r="W88" s="39"/>
      <c r="X88" s="46"/>
      <c r="Y88" s="46"/>
      <c r="Z88" s="39"/>
      <c r="AA88" s="39"/>
      <c r="AB88" s="39"/>
      <c r="AC88" s="39"/>
      <c r="AD88" s="46"/>
      <c r="AE88" s="46"/>
      <c r="AF88" s="46"/>
      <c r="AG88" s="46"/>
      <c r="AH88" s="39"/>
      <c r="AI88" s="39"/>
      <c r="AJ88" s="39"/>
      <c r="AK88" s="42"/>
      <c r="AL88" s="43"/>
    </row>
    <row r="89" spans="2:38" x14ac:dyDescent="0.25">
      <c r="B89" s="39"/>
      <c r="C89" s="39"/>
      <c r="D89" s="39"/>
      <c r="E89" s="39"/>
      <c r="F89" s="39"/>
      <c r="G89" s="39"/>
      <c r="H89" s="39"/>
      <c r="I89" s="47"/>
      <c r="J89" s="46"/>
      <c r="K89" s="46"/>
      <c r="L89" s="51"/>
      <c r="M89" s="46"/>
      <c r="N89" s="44"/>
      <c r="O89" s="48"/>
      <c r="P89" s="46"/>
      <c r="Q89" s="46"/>
      <c r="R89" s="39"/>
      <c r="S89" s="46"/>
      <c r="T89" s="46"/>
      <c r="U89" s="47"/>
      <c r="V89" s="46"/>
      <c r="W89" s="39"/>
      <c r="X89" s="46"/>
      <c r="Y89" s="46"/>
      <c r="Z89" s="39"/>
      <c r="AA89" s="39"/>
      <c r="AB89" s="39"/>
      <c r="AC89" s="39"/>
      <c r="AD89" s="46"/>
      <c r="AE89" s="46"/>
      <c r="AF89" s="46"/>
      <c r="AG89" s="46"/>
      <c r="AH89" s="39"/>
      <c r="AI89" s="39"/>
      <c r="AJ89" s="39"/>
      <c r="AK89" s="42"/>
      <c r="AL89" s="43"/>
    </row>
    <row r="90" spans="2:38" x14ac:dyDescent="0.25">
      <c r="B90" s="39"/>
      <c r="C90" s="39"/>
      <c r="D90" s="39"/>
      <c r="E90" s="39"/>
      <c r="F90" s="39"/>
      <c r="G90" s="39"/>
      <c r="H90" s="39"/>
      <c r="I90" s="47"/>
      <c r="J90" s="46"/>
      <c r="K90" s="46"/>
      <c r="L90" s="51"/>
      <c r="M90" s="46"/>
      <c r="N90" s="44"/>
      <c r="O90" s="48"/>
      <c r="P90" s="46"/>
      <c r="Q90" s="46"/>
      <c r="R90" s="39"/>
      <c r="S90" s="46"/>
      <c r="T90" s="46"/>
      <c r="U90" s="47"/>
      <c r="V90" s="46"/>
      <c r="W90" s="39"/>
      <c r="X90" s="46"/>
      <c r="Y90" s="46"/>
      <c r="Z90" s="39"/>
      <c r="AA90" s="39"/>
      <c r="AB90" s="39"/>
      <c r="AC90" s="39"/>
      <c r="AD90" s="46"/>
      <c r="AE90" s="46"/>
      <c r="AF90" s="46"/>
      <c r="AG90" s="46"/>
      <c r="AH90" s="39"/>
      <c r="AI90" s="39"/>
      <c r="AJ90" s="39"/>
      <c r="AK90" s="42"/>
      <c r="AL90" s="43"/>
    </row>
    <row r="91" spans="2:38" x14ac:dyDescent="0.25">
      <c r="B91" s="39"/>
      <c r="C91" s="39"/>
      <c r="D91" s="39"/>
      <c r="E91" s="39"/>
      <c r="F91" s="39"/>
      <c r="G91" s="39"/>
      <c r="H91" s="39"/>
      <c r="I91" s="47"/>
      <c r="J91" s="46"/>
      <c r="K91" s="46"/>
      <c r="L91" s="51"/>
      <c r="M91" s="46"/>
      <c r="N91" s="44"/>
      <c r="O91" s="48"/>
      <c r="P91" s="46"/>
      <c r="Q91" s="46"/>
      <c r="R91" s="39"/>
      <c r="S91" s="46"/>
      <c r="T91" s="46"/>
      <c r="U91" s="47"/>
      <c r="V91" s="46"/>
      <c r="W91" s="39"/>
      <c r="X91" s="46"/>
      <c r="Y91" s="46"/>
      <c r="Z91" s="39"/>
      <c r="AA91" s="39"/>
      <c r="AB91" s="39"/>
      <c r="AC91" s="39"/>
      <c r="AD91" s="46"/>
      <c r="AE91" s="46"/>
      <c r="AF91" s="46"/>
      <c r="AG91" s="46"/>
      <c r="AH91" s="39"/>
      <c r="AI91" s="39"/>
      <c r="AJ91" s="39"/>
      <c r="AK91" s="42"/>
      <c r="AL91" s="43"/>
    </row>
  </sheetData>
  <conditionalFormatting sqref="AK4:AK91">
    <cfRule type="dataBar" priority="1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{702EB2B0-08CE-450A-87D6-5A144131D222}</x14:id>
        </ext>
      </extLst>
    </cfRule>
  </conditionalFormatting>
  <dataValidations count="13">
    <dataValidation type="list" allowBlank="1" showInputMessage="1" showErrorMessage="1" sqref="AH4:AH91">
      <formula1>"Non,Oui"</formula1>
    </dataValidation>
    <dataValidation type="list" allowBlank="1" showInputMessage="1" showErrorMessage="1" sqref="AF4:AG91 AI4:AJ91">
      <formula1>"Oui,Non"</formula1>
    </dataValidation>
    <dataValidation type="list" allowBlank="1" showInputMessage="1" showErrorMessage="1" sqref="P4:P91">
      <formula1>"ascii,pdf,Tif,csv,mSEED,text,SEG-Y,excel,word"</formula1>
    </dataValidation>
    <dataValidation type="list" allowBlank="1" showInputMessage="1" showErrorMessage="1" sqref="S4:S91">
      <formula1>"Hydraulics,Chemistry,Geology,Gravimetry,Logging,MT,Geodesy,Fracture caracterisation,Tectonics,Seismics,Modelisation,Seismology,GPS"</formula1>
    </dataValidation>
    <dataValidation type="list" allowBlank="1" showInputMessage="1" showErrorMessage="1" sqref="T4:T91">
      <formula1>"Circulation,Hydraulic Stimulation,Drilling,Exploration,Injection Test,Exploitation,Chemical stimulation,Production Test"</formula1>
    </dataValidation>
    <dataValidation type="list" errorStyle="warning" allowBlank="1" showInputMessage="1" showErrorMessage="1" sqref="V4:V91">
      <formula1>"T,P,Q,Density logs,Imagery logs,PHI,Hole caracterisation,Magnetic parameters,V ,Velocities and slowness logs,GR,Other,Seismology parameters,Resistivity logs,Drilling parameters,Chemical content,Geological log,Elastic properties,Ph"</formula1>
    </dataValidation>
    <dataValidation type="list" allowBlank="1" sqref="AK4:AK91">
      <formula1>"0%,25%,50%,75%,100%"</formula1>
    </dataValidation>
    <dataValidation type="list" allowBlank="1" showInputMessage="1" showErrorMessage="1" sqref="U1 U5:U91">
      <formula1>"GPK1,GPK2,GPK3,GPK4, EPS1, Soultz-sous-Forêts"</formula1>
    </dataValidation>
    <dataValidation type="list" allowBlank="1" showInputMessage="1" showErrorMessage="1" sqref="I4:I91">
      <formula1>"GPK1,GPK2,GPK3,GPK4,OPS4,EPS1,4550,4601,4616,Soultz-sous-Forêts"</formula1>
    </dataValidation>
    <dataValidation type="list" allowBlank="1" showInputMessage="1" showErrorMessage="1" sqref="Z4:AC91">
      <formula1>"GEIE,ES Géothermie,BRGM,EOST/ IPGS"</formula1>
    </dataValidation>
    <dataValidation type="list" allowBlank="1" showInputMessage="1" showErrorMessage="1" sqref="U4">
      <formula1>"GPK1,GPK2,GPK3,GPK4, EPS1, Soultz-sous-Forêts"</formula1>
    </dataValidation>
    <dataValidation type="list" allowBlank="1" showInputMessage="1" showErrorMessage="1" sqref="G4:G91">
      <formula1>"Dataset,Series,Services"</formula1>
    </dataValidation>
    <dataValidation type="list" allowBlank="1" showInputMessage="1" showErrorMessage="1" sqref="W4:W91">
      <formula1>"Public, Public and traceabiity,Restricted, Case-by-case"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2EB2B0-08CE-450A-87D6-5A144131D222}">
            <x14:dataBar minLength="0" maxLength="100" border="1">
              <x14:cfvo type="autoMin"/>
              <x14:cfvo type="autoMax"/>
              <x14:borderColor theme="3" tint="0.39997558519241921"/>
              <x14:negativeFillColor rgb="FFFF0000"/>
              <x14:axisColor rgb="FF000000"/>
            </x14:dataBar>
          </x14:cfRule>
          <xm:sqref>AK4:AK91</xm:sqref>
        </x14:conditionalFormatting>
        <x14:conditionalFormatting xmlns:xm="http://schemas.microsoft.com/office/excel/2006/main">
          <x14:cfRule type="iconSet" priority="2" id="{C8E8904D-DE79-4B69-8862-1EF29E75742F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NoIcons" iconId="0"/>
              <x14:cfIcon iconSet="3Flags" iconId="0"/>
            </x14:iconSet>
          </x14:cfRule>
          <xm:sqref>AL4:AL91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103DB118-0227-4578-A710-633316086C8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Liste de metadonnées</vt:lpstr>
      <vt:lpstr>Metadata</vt:lpstr>
      <vt:lpstr>'Liste de metadonnées'!Titres_Imprimer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/>
  <cp:lastModifiedBy/>
  <dcterms:created xsi:type="dcterms:W3CDTF">2016-11-04T08:36:59Z</dcterms:created>
  <dcterms:modified xsi:type="dcterms:W3CDTF">2016-12-19T08:38:04Z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TC028980339991</vt:lpwstr>
  </property>
</Properties>
</file>